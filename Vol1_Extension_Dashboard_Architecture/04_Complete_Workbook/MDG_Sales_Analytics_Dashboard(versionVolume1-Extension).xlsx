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MDG_Sales_Data\main\backend\"/>
    </mc:Choice>
  </mc:AlternateContent>
  <xr:revisionPtr revIDLastSave="0" documentId="8_{F62EADCA-345F-4D43-986E-D02E4E62ED3A}" xr6:coauthVersionLast="47" xr6:coauthVersionMax="47" xr10:uidLastSave="{00000000-0000-0000-0000-000000000000}"/>
  <bookViews>
    <workbookView xWindow="-120" yWindow="-120" windowWidth="29040" windowHeight="15720" activeTab="2" xr2:uid="{86A682B7-7372-43B4-B7D0-AFD7762D4FBE}"/>
  </bookViews>
  <sheets>
    <sheet name="data raw" sheetId="1" r:id="rId1"/>
    <sheet name="Dashboard_Backend" sheetId="7" r:id="rId2"/>
    <sheet name="Dashboard" sheetId="12" r:id="rId3"/>
  </sheets>
  <definedNames>
    <definedName name="_xlcn.WorksheetConnection_Book1.xlsxdata" hidden="1">CleanSalesData[]</definedName>
    <definedName name="ExternalData_1" localSheetId="0" hidden="1">'data raw'!$A$1:$G$384</definedName>
    <definedName name="Slicer_Product">#N/A</definedName>
    <definedName name="Slicer_Revenue_Bilan">#N/A</definedName>
  </definedNames>
  <calcPr calcId="191029"/>
  <pivotCaches>
    <pivotCache cacheId="210" r:id="rId4"/>
    <pivotCache cacheId="213" r:id="rId5"/>
  </pivotCaches>
  <fileRecoveryPr repairLoad="1"/>
  <extLst>
    <ext xmlns:x14="http://schemas.microsoft.com/office/spreadsheetml/2009/9/main" uri="{876F7934-8845-4945-9796-88D515C7AA90}">
      <x14:pivotCaches>
        <pivotCache cacheId="84"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4" i="1" l="1"/>
  <c r="I384" i="1"/>
  <c r="H384" i="1"/>
  <c r="J383" i="1"/>
  <c r="I383" i="1"/>
  <c r="H383" i="1"/>
  <c r="J382" i="1"/>
  <c r="I382" i="1"/>
  <c r="H382" i="1"/>
  <c r="J381" i="1"/>
  <c r="I381" i="1"/>
  <c r="H381" i="1"/>
  <c r="J380" i="1"/>
  <c r="I380" i="1"/>
  <c r="H380" i="1"/>
  <c r="J379" i="1"/>
  <c r="I379" i="1"/>
  <c r="H379" i="1"/>
  <c r="J378" i="1"/>
  <c r="I378" i="1"/>
  <c r="H378" i="1"/>
  <c r="J377" i="1"/>
  <c r="I377" i="1"/>
  <c r="H377" i="1"/>
  <c r="J376" i="1"/>
  <c r="I376" i="1"/>
  <c r="H376" i="1"/>
  <c r="J375" i="1"/>
  <c r="I375" i="1"/>
  <c r="H375" i="1"/>
  <c r="J374" i="1"/>
  <c r="I374" i="1"/>
  <c r="H374" i="1"/>
  <c r="J373" i="1"/>
  <c r="I373" i="1"/>
  <c r="H373" i="1"/>
  <c r="J372" i="1"/>
  <c r="I372" i="1"/>
  <c r="H372" i="1"/>
  <c r="J371" i="1"/>
  <c r="I371" i="1"/>
  <c r="H371" i="1"/>
  <c r="J370" i="1"/>
  <c r="I370" i="1"/>
  <c r="H370" i="1"/>
  <c r="J369" i="1"/>
  <c r="I369" i="1"/>
  <c r="H369" i="1"/>
  <c r="J368" i="1"/>
  <c r="I368" i="1"/>
  <c r="H368" i="1"/>
  <c r="J367" i="1"/>
  <c r="I367" i="1"/>
  <c r="H367" i="1"/>
  <c r="J366" i="1"/>
  <c r="I366" i="1"/>
  <c r="H366" i="1"/>
  <c r="J365" i="1"/>
  <c r="I365" i="1"/>
  <c r="H365" i="1"/>
  <c r="J364" i="1"/>
  <c r="I364" i="1"/>
  <c r="H364" i="1"/>
  <c r="J363" i="1"/>
  <c r="I363" i="1"/>
  <c r="H363" i="1"/>
  <c r="J362" i="1"/>
  <c r="I362" i="1"/>
  <c r="H362" i="1"/>
  <c r="J361" i="1"/>
  <c r="I361" i="1"/>
  <c r="H361" i="1"/>
  <c r="J360" i="1"/>
  <c r="I360" i="1"/>
  <c r="H360" i="1"/>
  <c r="J359" i="1"/>
  <c r="I359" i="1"/>
  <c r="H359" i="1"/>
  <c r="J358" i="1"/>
  <c r="I358" i="1"/>
  <c r="H358" i="1"/>
  <c r="J357" i="1"/>
  <c r="I357" i="1"/>
  <c r="H357" i="1"/>
  <c r="J356" i="1"/>
  <c r="I356" i="1"/>
  <c r="H356" i="1"/>
  <c r="J355" i="1"/>
  <c r="I355" i="1"/>
  <c r="H355" i="1"/>
  <c r="J354" i="1"/>
  <c r="I354" i="1"/>
  <c r="H354" i="1"/>
  <c r="J353" i="1"/>
  <c r="I353" i="1"/>
  <c r="H353" i="1"/>
  <c r="J352" i="1"/>
  <c r="I352" i="1"/>
  <c r="H352" i="1"/>
  <c r="J351" i="1"/>
  <c r="I351" i="1"/>
  <c r="H351" i="1"/>
  <c r="J350" i="1"/>
  <c r="I350" i="1"/>
  <c r="H350" i="1"/>
  <c r="J349" i="1"/>
  <c r="I349" i="1"/>
  <c r="H349" i="1"/>
  <c r="J348" i="1"/>
  <c r="I348" i="1"/>
  <c r="H348" i="1"/>
  <c r="J347" i="1"/>
  <c r="I347" i="1"/>
  <c r="H347" i="1"/>
  <c r="J346" i="1"/>
  <c r="I346" i="1"/>
  <c r="H346" i="1"/>
  <c r="J345" i="1"/>
  <c r="I345" i="1"/>
  <c r="H345" i="1"/>
  <c r="J344" i="1"/>
  <c r="I344" i="1"/>
  <c r="H344" i="1"/>
  <c r="J343" i="1"/>
  <c r="I343" i="1"/>
  <c r="H343" i="1"/>
  <c r="J342" i="1"/>
  <c r="I342" i="1"/>
  <c r="H342" i="1"/>
  <c r="J341" i="1"/>
  <c r="I341" i="1"/>
  <c r="H341" i="1"/>
  <c r="J340" i="1"/>
  <c r="I340" i="1"/>
  <c r="H340" i="1"/>
  <c r="J339" i="1"/>
  <c r="I339" i="1"/>
  <c r="H339" i="1"/>
  <c r="J338" i="1"/>
  <c r="I338" i="1"/>
  <c r="H338" i="1"/>
  <c r="J337" i="1"/>
  <c r="I337" i="1"/>
  <c r="H337" i="1"/>
  <c r="J336" i="1"/>
  <c r="I336" i="1"/>
  <c r="H336" i="1"/>
  <c r="J335" i="1"/>
  <c r="I335" i="1"/>
  <c r="H335" i="1"/>
  <c r="J334" i="1"/>
  <c r="I334" i="1"/>
  <c r="H334" i="1"/>
  <c r="J333" i="1"/>
  <c r="I333" i="1"/>
  <c r="H333" i="1"/>
  <c r="J332" i="1"/>
  <c r="I332" i="1"/>
  <c r="H332" i="1"/>
  <c r="J331" i="1"/>
  <c r="I331" i="1"/>
  <c r="H331" i="1"/>
  <c r="J330" i="1"/>
  <c r="I330" i="1"/>
  <c r="H330" i="1"/>
  <c r="J329" i="1"/>
  <c r="I329" i="1"/>
  <c r="H329" i="1"/>
  <c r="J328" i="1"/>
  <c r="I328" i="1"/>
  <c r="H328" i="1"/>
  <c r="J327" i="1"/>
  <c r="I327" i="1"/>
  <c r="H327" i="1"/>
  <c r="J326" i="1"/>
  <c r="I326" i="1"/>
  <c r="H326" i="1"/>
  <c r="J325" i="1"/>
  <c r="I325" i="1"/>
  <c r="H325" i="1"/>
  <c r="J324" i="1"/>
  <c r="I324" i="1"/>
  <c r="H324" i="1"/>
  <c r="J323" i="1"/>
  <c r="I323" i="1"/>
  <c r="H323" i="1"/>
  <c r="J322" i="1"/>
  <c r="I322" i="1"/>
  <c r="H322" i="1"/>
  <c r="J321" i="1"/>
  <c r="I321" i="1"/>
  <c r="H321" i="1"/>
  <c r="J320" i="1"/>
  <c r="I320" i="1"/>
  <c r="H320" i="1"/>
  <c r="J319" i="1"/>
  <c r="I319" i="1"/>
  <c r="H319" i="1"/>
  <c r="J318" i="1"/>
  <c r="I318" i="1"/>
  <c r="H318" i="1"/>
  <c r="J317" i="1"/>
  <c r="I317" i="1"/>
  <c r="H317" i="1"/>
  <c r="J316" i="1"/>
  <c r="I316" i="1"/>
  <c r="H316" i="1"/>
  <c r="J315" i="1"/>
  <c r="I315" i="1"/>
  <c r="H315" i="1"/>
  <c r="J314" i="1"/>
  <c r="I314" i="1"/>
  <c r="H314" i="1"/>
  <c r="J313" i="1"/>
  <c r="I313" i="1"/>
  <c r="H313" i="1"/>
  <c r="J312" i="1"/>
  <c r="I312" i="1"/>
  <c r="H312" i="1"/>
  <c r="J311" i="1"/>
  <c r="I311" i="1"/>
  <c r="H311" i="1"/>
  <c r="J310" i="1"/>
  <c r="I310" i="1"/>
  <c r="H310" i="1"/>
  <c r="J309" i="1"/>
  <c r="I309" i="1"/>
  <c r="H309" i="1"/>
  <c r="J308" i="1"/>
  <c r="I308" i="1"/>
  <c r="H308" i="1"/>
  <c r="J307" i="1"/>
  <c r="I307" i="1"/>
  <c r="H307" i="1"/>
  <c r="J306" i="1"/>
  <c r="I306" i="1"/>
  <c r="H306" i="1"/>
  <c r="J305" i="1"/>
  <c r="I305" i="1"/>
  <c r="H305" i="1"/>
  <c r="J304" i="1"/>
  <c r="I304" i="1"/>
  <c r="H304" i="1"/>
  <c r="J303" i="1"/>
  <c r="I303" i="1"/>
  <c r="H303" i="1"/>
  <c r="J302" i="1"/>
  <c r="I302" i="1"/>
  <c r="H302" i="1"/>
  <c r="J301" i="1"/>
  <c r="I301" i="1"/>
  <c r="H301" i="1"/>
  <c r="J300" i="1"/>
  <c r="I300" i="1"/>
  <c r="H300" i="1"/>
  <c r="J299" i="1"/>
  <c r="I299" i="1"/>
  <c r="H299" i="1"/>
  <c r="J298" i="1"/>
  <c r="I298" i="1"/>
  <c r="H298" i="1"/>
  <c r="J297" i="1"/>
  <c r="I297" i="1"/>
  <c r="H297" i="1"/>
  <c r="J296" i="1"/>
  <c r="I296" i="1"/>
  <c r="H296" i="1"/>
  <c r="J295" i="1"/>
  <c r="I295" i="1"/>
  <c r="H295" i="1"/>
  <c r="J294" i="1"/>
  <c r="I294" i="1"/>
  <c r="H294" i="1"/>
  <c r="J293" i="1"/>
  <c r="I293" i="1"/>
  <c r="H293" i="1"/>
  <c r="J292" i="1"/>
  <c r="I292" i="1"/>
  <c r="H292" i="1"/>
  <c r="J291" i="1"/>
  <c r="I291" i="1"/>
  <c r="H291" i="1"/>
  <c r="J290" i="1"/>
  <c r="I290" i="1"/>
  <c r="H290" i="1"/>
  <c r="J289" i="1"/>
  <c r="I289" i="1"/>
  <c r="H289" i="1"/>
  <c r="J288" i="1"/>
  <c r="I288" i="1"/>
  <c r="H288" i="1"/>
  <c r="J287" i="1"/>
  <c r="I287" i="1"/>
  <c r="H287" i="1"/>
  <c r="J286" i="1"/>
  <c r="I286" i="1"/>
  <c r="H286" i="1"/>
  <c r="J285" i="1"/>
  <c r="I285" i="1"/>
  <c r="H285" i="1"/>
  <c r="J284" i="1"/>
  <c r="I284" i="1"/>
  <c r="H284" i="1"/>
  <c r="J283" i="1"/>
  <c r="I283" i="1"/>
  <c r="H283" i="1"/>
  <c r="J282" i="1"/>
  <c r="I282" i="1"/>
  <c r="H282" i="1"/>
  <c r="J281" i="1"/>
  <c r="I281" i="1"/>
  <c r="H281" i="1"/>
  <c r="J280" i="1"/>
  <c r="I280" i="1"/>
  <c r="H280" i="1"/>
  <c r="J279" i="1"/>
  <c r="I279" i="1"/>
  <c r="H279" i="1"/>
  <c r="J278" i="1"/>
  <c r="I278" i="1"/>
  <c r="H278" i="1"/>
  <c r="J277" i="1"/>
  <c r="I277" i="1"/>
  <c r="H277" i="1"/>
  <c r="J276" i="1"/>
  <c r="I276" i="1"/>
  <c r="H276" i="1"/>
  <c r="J275" i="1"/>
  <c r="I275" i="1"/>
  <c r="H275" i="1"/>
  <c r="J274" i="1"/>
  <c r="I274" i="1"/>
  <c r="H274" i="1"/>
  <c r="J273" i="1"/>
  <c r="I273" i="1"/>
  <c r="H273" i="1"/>
  <c r="J272" i="1"/>
  <c r="I272" i="1"/>
  <c r="H272" i="1"/>
  <c r="J271" i="1"/>
  <c r="I271" i="1"/>
  <c r="H271" i="1"/>
  <c r="J270" i="1"/>
  <c r="I270" i="1"/>
  <c r="H270" i="1"/>
  <c r="J269" i="1"/>
  <c r="I269" i="1"/>
  <c r="H269" i="1"/>
  <c r="J268" i="1"/>
  <c r="I268" i="1"/>
  <c r="H268" i="1"/>
  <c r="J267" i="1"/>
  <c r="I267" i="1"/>
  <c r="H267" i="1"/>
  <c r="J266" i="1"/>
  <c r="I266" i="1"/>
  <c r="H266" i="1"/>
  <c r="J265" i="1"/>
  <c r="I265" i="1"/>
  <c r="H265" i="1"/>
  <c r="J264" i="1"/>
  <c r="I264" i="1"/>
  <c r="H264" i="1"/>
  <c r="J263" i="1"/>
  <c r="I263" i="1"/>
  <c r="H263" i="1"/>
  <c r="J262" i="1"/>
  <c r="I262" i="1"/>
  <c r="H262" i="1"/>
  <c r="J261" i="1"/>
  <c r="I261" i="1"/>
  <c r="H261" i="1"/>
  <c r="J260" i="1"/>
  <c r="I260" i="1"/>
  <c r="H260" i="1"/>
  <c r="J259" i="1"/>
  <c r="I259" i="1"/>
  <c r="H259" i="1"/>
  <c r="J258" i="1"/>
  <c r="I258" i="1"/>
  <c r="H258" i="1"/>
  <c r="J257" i="1"/>
  <c r="I257" i="1"/>
  <c r="H257" i="1"/>
  <c r="J256" i="1"/>
  <c r="I256" i="1"/>
  <c r="H256" i="1"/>
  <c r="J255" i="1"/>
  <c r="I255" i="1"/>
  <c r="H255" i="1"/>
  <c r="J254" i="1"/>
  <c r="I254" i="1"/>
  <c r="H254" i="1"/>
  <c r="J253" i="1"/>
  <c r="I253" i="1"/>
  <c r="H253" i="1"/>
  <c r="J252" i="1"/>
  <c r="I252" i="1"/>
  <c r="H252" i="1"/>
  <c r="J251" i="1"/>
  <c r="I251" i="1"/>
  <c r="H251" i="1"/>
  <c r="J250" i="1"/>
  <c r="I250" i="1"/>
  <c r="H250" i="1"/>
  <c r="J249" i="1"/>
  <c r="I249" i="1"/>
  <c r="H249" i="1"/>
  <c r="J248" i="1"/>
  <c r="I248" i="1"/>
  <c r="H248" i="1"/>
  <c r="J247" i="1"/>
  <c r="I247" i="1"/>
  <c r="H247" i="1"/>
  <c r="J246" i="1"/>
  <c r="I246" i="1"/>
  <c r="H246" i="1"/>
  <c r="J245" i="1"/>
  <c r="I245" i="1"/>
  <c r="H245" i="1"/>
  <c r="J244" i="1"/>
  <c r="I244" i="1"/>
  <c r="H244" i="1"/>
  <c r="J243" i="1"/>
  <c r="I243" i="1"/>
  <c r="H243" i="1"/>
  <c r="J242" i="1"/>
  <c r="I242" i="1"/>
  <c r="H242" i="1"/>
  <c r="J241" i="1"/>
  <c r="I241" i="1"/>
  <c r="H241" i="1"/>
  <c r="J240" i="1"/>
  <c r="I240" i="1"/>
  <c r="H240" i="1"/>
  <c r="J239" i="1"/>
  <c r="I239" i="1"/>
  <c r="H239" i="1"/>
  <c r="J238" i="1"/>
  <c r="I238" i="1"/>
  <c r="H238" i="1"/>
  <c r="J237" i="1"/>
  <c r="I237" i="1"/>
  <c r="H237" i="1"/>
  <c r="J236" i="1"/>
  <c r="I236" i="1"/>
  <c r="H236" i="1"/>
  <c r="J235" i="1"/>
  <c r="I235" i="1"/>
  <c r="H235" i="1"/>
  <c r="J234" i="1"/>
  <c r="I234" i="1"/>
  <c r="H234" i="1"/>
  <c r="J233" i="1"/>
  <c r="I233" i="1"/>
  <c r="H233" i="1"/>
  <c r="J232" i="1"/>
  <c r="I232" i="1"/>
  <c r="H232" i="1"/>
  <c r="J231" i="1"/>
  <c r="I231" i="1"/>
  <c r="H231" i="1"/>
  <c r="J230" i="1"/>
  <c r="I230" i="1"/>
  <c r="H230" i="1"/>
  <c r="J229" i="1"/>
  <c r="I229" i="1"/>
  <c r="H229" i="1"/>
  <c r="J228" i="1"/>
  <c r="I228" i="1"/>
  <c r="H228" i="1"/>
  <c r="J227" i="1"/>
  <c r="I227" i="1"/>
  <c r="H227" i="1"/>
  <c r="J226" i="1"/>
  <c r="I226" i="1"/>
  <c r="H226" i="1"/>
  <c r="J225" i="1"/>
  <c r="I225" i="1"/>
  <c r="H225" i="1"/>
  <c r="J224" i="1"/>
  <c r="I224" i="1"/>
  <c r="H224" i="1"/>
  <c r="J223" i="1"/>
  <c r="I223" i="1"/>
  <c r="H223" i="1"/>
  <c r="J222" i="1"/>
  <c r="I222" i="1"/>
  <c r="H222" i="1"/>
  <c r="J221" i="1"/>
  <c r="I221" i="1"/>
  <c r="H221" i="1"/>
  <c r="J220" i="1"/>
  <c r="I220" i="1"/>
  <c r="H220" i="1"/>
  <c r="J219" i="1"/>
  <c r="I219" i="1"/>
  <c r="H219" i="1"/>
  <c r="J218" i="1"/>
  <c r="I218" i="1"/>
  <c r="H218" i="1"/>
  <c r="J217" i="1"/>
  <c r="I217" i="1"/>
  <c r="H217" i="1"/>
  <c r="J216" i="1"/>
  <c r="I216" i="1"/>
  <c r="H216" i="1"/>
  <c r="J215" i="1"/>
  <c r="I215" i="1"/>
  <c r="H215" i="1"/>
  <c r="J214" i="1"/>
  <c r="I214" i="1"/>
  <c r="H214" i="1"/>
  <c r="J213" i="1"/>
  <c r="I213" i="1"/>
  <c r="H213" i="1"/>
  <c r="J212" i="1"/>
  <c r="I212" i="1"/>
  <c r="H212" i="1"/>
  <c r="J211" i="1"/>
  <c r="I211" i="1"/>
  <c r="H211" i="1"/>
  <c r="J210" i="1"/>
  <c r="I210" i="1"/>
  <c r="H210" i="1"/>
  <c r="J209" i="1"/>
  <c r="I209" i="1"/>
  <c r="H209" i="1"/>
  <c r="J208" i="1"/>
  <c r="I208" i="1"/>
  <c r="H208" i="1"/>
  <c r="J207" i="1"/>
  <c r="I207" i="1"/>
  <c r="H207" i="1"/>
  <c r="J206" i="1"/>
  <c r="I206" i="1"/>
  <c r="H206" i="1"/>
  <c r="J205" i="1"/>
  <c r="I205" i="1"/>
  <c r="H205" i="1"/>
  <c r="J204" i="1"/>
  <c r="I204" i="1"/>
  <c r="H204" i="1"/>
  <c r="J203" i="1"/>
  <c r="I203" i="1"/>
  <c r="H203" i="1"/>
  <c r="J202" i="1"/>
  <c r="I202" i="1"/>
  <c r="H202" i="1"/>
  <c r="J201" i="1"/>
  <c r="I201" i="1"/>
  <c r="H201" i="1"/>
  <c r="J200" i="1"/>
  <c r="I200" i="1"/>
  <c r="H200" i="1"/>
  <c r="J199" i="1"/>
  <c r="I199" i="1"/>
  <c r="H199" i="1"/>
  <c r="J198" i="1"/>
  <c r="I198" i="1"/>
  <c r="H198" i="1"/>
  <c r="J197" i="1"/>
  <c r="I197" i="1"/>
  <c r="H197" i="1"/>
  <c r="J196" i="1"/>
  <c r="I196" i="1"/>
  <c r="H196" i="1"/>
  <c r="J195" i="1"/>
  <c r="I195" i="1"/>
  <c r="H195" i="1"/>
  <c r="J194" i="1"/>
  <c r="I194" i="1"/>
  <c r="H194" i="1"/>
  <c r="J193" i="1"/>
  <c r="I193" i="1"/>
  <c r="H193" i="1"/>
  <c r="J192" i="1"/>
  <c r="I192" i="1"/>
  <c r="H192" i="1"/>
  <c r="J191" i="1"/>
  <c r="I191" i="1"/>
  <c r="H191" i="1"/>
  <c r="J190" i="1"/>
  <c r="I190" i="1"/>
  <c r="H190" i="1"/>
  <c r="J189" i="1"/>
  <c r="I189" i="1"/>
  <c r="H189" i="1"/>
  <c r="J188" i="1"/>
  <c r="I188" i="1"/>
  <c r="H188" i="1"/>
  <c r="J187" i="1"/>
  <c r="I187" i="1"/>
  <c r="H187" i="1"/>
  <c r="J186" i="1"/>
  <c r="I186" i="1"/>
  <c r="H186" i="1"/>
  <c r="J185" i="1"/>
  <c r="I185" i="1"/>
  <c r="H185" i="1"/>
  <c r="J184" i="1"/>
  <c r="I184" i="1"/>
  <c r="H184" i="1"/>
  <c r="J183" i="1"/>
  <c r="I183" i="1"/>
  <c r="H183" i="1"/>
  <c r="J182" i="1"/>
  <c r="I182" i="1"/>
  <c r="H182" i="1"/>
  <c r="J181" i="1"/>
  <c r="I181" i="1"/>
  <c r="H181" i="1"/>
  <c r="J180" i="1"/>
  <c r="I180" i="1"/>
  <c r="H180" i="1"/>
  <c r="J179" i="1"/>
  <c r="I179" i="1"/>
  <c r="H179" i="1"/>
  <c r="J178" i="1"/>
  <c r="I178" i="1"/>
  <c r="H178" i="1"/>
  <c r="J177" i="1"/>
  <c r="I177" i="1"/>
  <c r="H177" i="1"/>
  <c r="J176" i="1"/>
  <c r="I176" i="1"/>
  <c r="H176" i="1"/>
  <c r="J175" i="1"/>
  <c r="I175" i="1"/>
  <c r="H175" i="1"/>
  <c r="J174" i="1"/>
  <c r="I174" i="1"/>
  <c r="H174" i="1"/>
  <c r="J173" i="1"/>
  <c r="I173" i="1"/>
  <c r="H173" i="1"/>
  <c r="J172" i="1"/>
  <c r="I172" i="1"/>
  <c r="H172" i="1"/>
  <c r="J171" i="1"/>
  <c r="I171" i="1"/>
  <c r="H171" i="1"/>
  <c r="J170" i="1"/>
  <c r="I170" i="1"/>
  <c r="H170" i="1"/>
  <c r="J169" i="1"/>
  <c r="I169" i="1"/>
  <c r="H169" i="1"/>
  <c r="J168" i="1"/>
  <c r="I168" i="1"/>
  <c r="H168" i="1"/>
  <c r="J167" i="1"/>
  <c r="I167" i="1"/>
  <c r="H167" i="1"/>
  <c r="J166" i="1"/>
  <c r="I166" i="1"/>
  <c r="H166" i="1"/>
  <c r="J165" i="1"/>
  <c r="I165" i="1"/>
  <c r="H165" i="1"/>
  <c r="J164" i="1"/>
  <c r="I164" i="1"/>
  <c r="H164" i="1"/>
  <c r="J163" i="1"/>
  <c r="I163" i="1"/>
  <c r="H163" i="1"/>
  <c r="J162" i="1"/>
  <c r="I162" i="1"/>
  <c r="H162" i="1"/>
  <c r="J161" i="1"/>
  <c r="I161" i="1"/>
  <c r="H161" i="1"/>
  <c r="J160" i="1"/>
  <c r="I160" i="1"/>
  <c r="H160" i="1"/>
  <c r="J159" i="1"/>
  <c r="I159" i="1"/>
  <c r="H159" i="1"/>
  <c r="J158" i="1"/>
  <c r="I158" i="1"/>
  <c r="H158" i="1"/>
  <c r="J157" i="1"/>
  <c r="I157" i="1"/>
  <c r="H157" i="1"/>
  <c r="J156" i="1"/>
  <c r="I156" i="1"/>
  <c r="H156" i="1"/>
  <c r="J155" i="1"/>
  <c r="I155" i="1"/>
  <c r="H155" i="1"/>
  <c r="J154" i="1"/>
  <c r="I154" i="1"/>
  <c r="H154" i="1"/>
  <c r="J153" i="1"/>
  <c r="I153" i="1"/>
  <c r="H153" i="1"/>
  <c r="J152" i="1"/>
  <c r="I152" i="1"/>
  <c r="H152" i="1"/>
  <c r="J151" i="1"/>
  <c r="I151" i="1"/>
  <c r="H151" i="1"/>
  <c r="J150" i="1"/>
  <c r="I150" i="1"/>
  <c r="H150" i="1"/>
  <c r="J149" i="1"/>
  <c r="I149" i="1"/>
  <c r="H149" i="1"/>
  <c r="J148" i="1"/>
  <c r="I148" i="1"/>
  <c r="H148" i="1"/>
  <c r="J147" i="1"/>
  <c r="I147" i="1"/>
  <c r="H147" i="1"/>
  <c r="J146" i="1"/>
  <c r="I146" i="1"/>
  <c r="H146" i="1"/>
  <c r="J145" i="1"/>
  <c r="I145" i="1"/>
  <c r="H145" i="1"/>
  <c r="J144" i="1"/>
  <c r="I144" i="1"/>
  <c r="H144" i="1"/>
  <c r="J143" i="1"/>
  <c r="I143" i="1"/>
  <c r="H143" i="1"/>
  <c r="J142" i="1"/>
  <c r="I142" i="1"/>
  <c r="H142" i="1"/>
  <c r="J141" i="1"/>
  <c r="I141" i="1"/>
  <c r="H141" i="1"/>
  <c r="J140" i="1"/>
  <c r="I140" i="1"/>
  <c r="H140" i="1"/>
  <c r="J139" i="1"/>
  <c r="I139" i="1"/>
  <c r="H139" i="1"/>
  <c r="J138" i="1"/>
  <c r="I138" i="1"/>
  <c r="H138" i="1"/>
  <c r="J137" i="1"/>
  <c r="I137" i="1"/>
  <c r="H137" i="1"/>
  <c r="J136" i="1"/>
  <c r="I136" i="1"/>
  <c r="H136" i="1"/>
  <c r="J135" i="1"/>
  <c r="I135" i="1"/>
  <c r="H135" i="1"/>
  <c r="J134" i="1"/>
  <c r="I134" i="1"/>
  <c r="H134" i="1"/>
  <c r="J133" i="1"/>
  <c r="I133" i="1"/>
  <c r="H133" i="1"/>
  <c r="J132" i="1"/>
  <c r="I132" i="1"/>
  <c r="H132" i="1"/>
  <c r="J131" i="1"/>
  <c r="I131" i="1"/>
  <c r="H131" i="1"/>
  <c r="J130" i="1"/>
  <c r="I130" i="1"/>
  <c r="H130" i="1"/>
  <c r="J129" i="1"/>
  <c r="I129" i="1"/>
  <c r="H129" i="1"/>
  <c r="J128" i="1"/>
  <c r="I128" i="1"/>
  <c r="H128" i="1"/>
  <c r="J127" i="1"/>
  <c r="I127" i="1"/>
  <c r="H127" i="1"/>
  <c r="J126" i="1"/>
  <c r="I126" i="1"/>
  <c r="H126" i="1"/>
  <c r="J125" i="1"/>
  <c r="I125" i="1"/>
  <c r="H125" i="1"/>
  <c r="J124" i="1"/>
  <c r="I124" i="1"/>
  <c r="H124" i="1"/>
  <c r="J123" i="1"/>
  <c r="I123" i="1"/>
  <c r="H123" i="1"/>
  <c r="J122" i="1"/>
  <c r="I122" i="1"/>
  <c r="H122" i="1"/>
  <c r="J121" i="1"/>
  <c r="I121" i="1"/>
  <c r="H121" i="1"/>
  <c r="J120" i="1"/>
  <c r="I120" i="1"/>
  <c r="H120" i="1"/>
  <c r="J119" i="1"/>
  <c r="I119" i="1"/>
  <c r="H119" i="1"/>
  <c r="J118" i="1"/>
  <c r="I118" i="1"/>
  <c r="H118" i="1"/>
  <c r="J117" i="1"/>
  <c r="I117" i="1"/>
  <c r="H117" i="1"/>
  <c r="J116" i="1"/>
  <c r="I116" i="1"/>
  <c r="H116" i="1"/>
  <c r="J115" i="1"/>
  <c r="I115" i="1"/>
  <c r="H115" i="1"/>
  <c r="J114" i="1"/>
  <c r="I114" i="1"/>
  <c r="H114" i="1"/>
  <c r="J113" i="1"/>
  <c r="I113" i="1"/>
  <c r="H113" i="1"/>
  <c r="J112" i="1"/>
  <c r="I112" i="1"/>
  <c r="H112" i="1"/>
  <c r="J111" i="1"/>
  <c r="I111" i="1"/>
  <c r="H111" i="1"/>
  <c r="J110" i="1"/>
  <c r="I110" i="1"/>
  <c r="H110" i="1"/>
  <c r="J109" i="1"/>
  <c r="I109" i="1"/>
  <c r="H109" i="1"/>
  <c r="J108" i="1"/>
  <c r="I108" i="1"/>
  <c r="H108" i="1"/>
  <c r="J107" i="1"/>
  <c r="I107" i="1"/>
  <c r="H107" i="1"/>
  <c r="J106" i="1"/>
  <c r="I106" i="1"/>
  <c r="H106" i="1"/>
  <c r="J105" i="1"/>
  <c r="I105" i="1"/>
  <c r="H105" i="1"/>
  <c r="J104" i="1"/>
  <c r="I104" i="1"/>
  <c r="H104" i="1"/>
  <c r="J103" i="1"/>
  <c r="I103" i="1"/>
  <c r="H103" i="1"/>
  <c r="J102" i="1"/>
  <c r="I102" i="1"/>
  <c r="H102" i="1"/>
  <c r="J101" i="1"/>
  <c r="I101" i="1"/>
  <c r="H101" i="1"/>
  <c r="J100" i="1"/>
  <c r="I100" i="1"/>
  <c r="H100" i="1"/>
  <c r="J99" i="1"/>
  <c r="I99" i="1"/>
  <c r="H99" i="1"/>
  <c r="J98" i="1"/>
  <c r="I98" i="1"/>
  <c r="H98" i="1"/>
  <c r="J97" i="1"/>
  <c r="I97" i="1"/>
  <c r="H97" i="1"/>
  <c r="J96" i="1"/>
  <c r="I96" i="1"/>
  <c r="H96" i="1"/>
  <c r="J95" i="1"/>
  <c r="I95" i="1"/>
  <c r="H95" i="1"/>
  <c r="J94" i="1"/>
  <c r="I94" i="1"/>
  <c r="H94" i="1"/>
  <c r="J93" i="1"/>
  <c r="I93" i="1"/>
  <c r="H93" i="1"/>
  <c r="J92" i="1"/>
  <c r="I92" i="1"/>
  <c r="H92" i="1"/>
  <c r="J91" i="1"/>
  <c r="I91" i="1"/>
  <c r="H91" i="1"/>
  <c r="J90" i="1"/>
  <c r="I90" i="1"/>
  <c r="H90" i="1"/>
  <c r="J89" i="1"/>
  <c r="I89" i="1"/>
  <c r="H89" i="1"/>
  <c r="J88" i="1"/>
  <c r="I88" i="1"/>
  <c r="H88" i="1"/>
  <c r="J87" i="1"/>
  <c r="I87" i="1"/>
  <c r="H87" i="1"/>
  <c r="J86" i="1"/>
  <c r="I86" i="1"/>
  <c r="H86" i="1"/>
  <c r="J85" i="1"/>
  <c r="I85" i="1"/>
  <c r="H85" i="1"/>
  <c r="J84" i="1"/>
  <c r="I84" i="1"/>
  <c r="H84" i="1"/>
  <c r="J83" i="1"/>
  <c r="I83" i="1"/>
  <c r="H83" i="1"/>
  <c r="J82" i="1"/>
  <c r="I82" i="1"/>
  <c r="H82" i="1"/>
  <c r="J81" i="1"/>
  <c r="I81" i="1"/>
  <c r="H81" i="1"/>
  <c r="J80" i="1"/>
  <c r="I80" i="1"/>
  <c r="H80" i="1"/>
  <c r="J79" i="1"/>
  <c r="I79" i="1"/>
  <c r="H79" i="1"/>
  <c r="J78" i="1"/>
  <c r="I78" i="1"/>
  <c r="H78" i="1"/>
  <c r="J77" i="1"/>
  <c r="I77" i="1"/>
  <c r="H77" i="1"/>
  <c r="J76" i="1"/>
  <c r="I76" i="1"/>
  <c r="H76" i="1"/>
  <c r="J75" i="1"/>
  <c r="I75" i="1"/>
  <c r="H75" i="1"/>
  <c r="J74" i="1"/>
  <c r="I74" i="1"/>
  <c r="H74" i="1"/>
  <c r="J73" i="1"/>
  <c r="I73" i="1"/>
  <c r="H73" i="1"/>
  <c r="J72" i="1"/>
  <c r="I72" i="1"/>
  <c r="H72" i="1"/>
  <c r="J71" i="1"/>
  <c r="I71" i="1"/>
  <c r="H71" i="1"/>
  <c r="J70" i="1"/>
  <c r="I70" i="1"/>
  <c r="H70" i="1"/>
  <c r="J69" i="1"/>
  <c r="I69" i="1"/>
  <c r="H69" i="1"/>
  <c r="J68" i="1"/>
  <c r="I68" i="1"/>
  <c r="H68" i="1"/>
  <c r="J67" i="1"/>
  <c r="I67" i="1"/>
  <c r="H67" i="1"/>
  <c r="J66" i="1"/>
  <c r="I66" i="1"/>
  <c r="H66" i="1"/>
  <c r="J65" i="1"/>
  <c r="I65" i="1"/>
  <c r="H65" i="1"/>
  <c r="J64" i="1"/>
  <c r="I64" i="1"/>
  <c r="H64" i="1"/>
  <c r="J63" i="1"/>
  <c r="I63" i="1"/>
  <c r="H63" i="1"/>
  <c r="J62" i="1"/>
  <c r="I62" i="1"/>
  <c r="H62" i="1"/>
  <c r="J61" i="1"/>
  <c r="I61" i="1"/>
  <c r="H61" i="1"/>
  <c r="J60" i="1"/>
  <c r="I60" i="1"/>
  <c r="H60" i="1"/>
  <c r="J59" i="1"/>
  <c r="I59" i="1"/>
  <c r="H59" i="1"/>
  <c r="J58" i="1"/>
  <c r="I58" i="1"/>
  <c r="H58" i="1"/>
  <c r="J57" i="1"/>
  <c r="I57" i="1"/>
  <c r="H57" i="1"/>
  <c r="J56" i="1"/>
  <c r="I56" i="1"/>
  <c r="H56" i="1"/>
  <c r="J55" i="1"/>
  <c r="I55" i="1"/>
  <c r="H55" i="1"/>
  <c r="J54" i="1"/>
  <c r="I54" i="1"/>
  <c r="H54" i="1"/>
  <c r="J53" i="1"/>
  <c r="I53" i="1"/>
  <c r="H53" i="1"/>
  <c r="J52" i="1"/>
  <c r="I52" i="1"/>
  <c r="H52" i="1"/>
  <c r="J51" i="1"/>
  <c r="I51" i="1"/>
  <c r="H51" i="1"/>
  <c r="J50" i="1"/>
  <c r="I50" i="1"/>
  <c r="H50" i="1"/>
  <c r="J49" i="1"/>
  <c r="I49" i="1"/>
  <c r="H49" i="1"/>
  <c r="J48" i="1"/>
  <c r="I48" i="1"/>
  <c r="H48" i="1"/>
  <c r="J47" i="1"/>
  <c r="I47" i="1"/>
  <c r="H47" i="1"/>
  <c r="J46" i="1"/>
  <c r="I46" i="1"/>
  <c r="H46" i="1"/>
  <c r="J45" i="1"/>
  <c r="I45" i="1"/>
  <c r="H45" i="1"/>
  <c r="J44" i="1"/>
  <c r="I44" i="1"/>
  <c r="H44" i="1"/>
  <c r="J43" i="1"/>
  <c r="I43" i="1"/>
  <c r="H43" i="1"/>
  <c r="J42" i="1"/>
  <c r="I42" i="1"/>
  <c r="H42" i="1"/>
  <c r="J41" i="1"/>
  <c r="I41" i="1"/>
  <c r="H41" i="1"/>
  <c r="J40" i="1"/>
  <c r="I40" i="1"/>
  <c r="H40" i="1"/>
  <c r="J39" i="1"/>
  <c r="I39" i="1"/>
  <c r="H39" i="1"/>
  <c r="J38" i="1"/>
  <c r="I38" i="1"/>
  <c r="H38" i="1"/>
  <c r="J37" i="1"/>
  <c r="I37" i="1"/>
  <c r="H37" i="1"/>
  <c r="J36" i="1"/>
  <c r="I36" i="1"/>
  <c r="H36" i="1"/>
  <c r="J35" i="1"/>
  <c r="I35" i="1"/>
  <c r="H35" i="1"/>
  <c r="J34" i="1"/>
  <c r="I34" i="1"/>
  <c r="H34" i="1"/>
  <c r="J33" i="1"/>
  <c r="I33" i="1"/>
  <c r="H33" i="1"/>
  <c r="J32" i="1"/>
  <c r="I32" i="1"/>
  <c r="H32" i="1"/>
  <c r="J31" i="1"/>
  <c r="I31" i="1"/>
  <c r="H31" i="1"/>
  <c r="J30" i="1"/>
  <c r="I30" i="1"/>
  <c r="H30" i="1"/>
  <c r="J29" i="1"/>
  <c r="I29" i="1"/>
  <c r="H29" i="1"/>
  <c r="J28" i="1"/>
  <c r="I28" i="1"/>
  <c r="H28" i="1"/>
  <c r="J27" i="1"/>
  <c r="I27" i="1"/>
  <c r="H27" i="1"/>
  <c r="J26" i="1"/>
  <c r="I26" i="1"/>
  <c r="H26" i="1"/>
  <c r="J25" i="1"/>
  <c r="I25" i="1"/>
  <c r="H25" i="1"/>
  <c r="J24" i="1"/>
  <c r="I24" i="1"/>
  <c r="H24" i="1"/>
  <c r="J23" i="1"/>
  <c r="I23" i="1"/>
  <c r="H23" i="1"/>
  <c r="J22" i="1"/>
  <c r="I22" i="1"/>
  <c r="H22" i="1"/>
  <c r="J21" i="1"/>
  <c r="I21" i="1"/>
  <c r="H21" i="1"/>
  <c r="J20" i="1"/>
  <c r="I20" i="1"/>
  <c r="H20" i="1"/>
  <c r="J19" i="1"/>
  <c r="I19" i="1"/>
  <c r="H19" i="1"/>
  <c r="J18" i="1"/>
  <c r="I18" i="1"/>
  <c r="H18" i="1"/>
  <c r="J17" i="1"/>
  <c r="I17" i="1"/>
  <c r="H17" i="1"/>
  <c r="J16" i="1"/>
  <c r="I16" i="1"/>
  <c r="H16" i="1"/>
  <c r="J15" i="1"/>
  <c r="I15" i="1"/>
  <c r="H15" i="1"/>
  <c r="J14" i="1"/>
  <c r="I14" i="1"/>
  <c r="H14" i="1"/>
  <c r="J13" i="1"/>
  <c r="I13" i="1"/>
  <c r="H13" i="1"/>
  <c r="J12" i="1"/>
  <c r="I12" i="1"/>
  <c r="H12" i="1"/>
  <c r="J11" i="1"/>
  <c r="I11" i="1"/>
  <c r="H11" i="1"/>
  <c r="J10" i="1"/>
  <c r="I10" i="1"/>
  <c r="H10" i="1"/>
  <c r="J9" i="1"/>
  <c r="I9" i="1"/>
  <c r="H9" i="1"/>
  <c r="J8" i="1"/>
  <c r="I8" i="1"/>
  <c r="H8" i="1"/>
  <c r="J7" i="1"/>
  <c r="I7" i="1"/>
  <c r="H7" i="1"/>
  <c r="J6" i="1"/>
  <c r="I6" i="1"/>
  <c r="H6" i="1"/>
  <c r="J5" i="1"/>
  <c r="I5" i="1"/>
  <c r="H5" i="1"/>
  <c r="J4" i="1"/>
  <c r="I4" i="1"/>
  <c r="H4" i="1"/>
  <c r="J3" i="1"/>
  <c r="I3" i="1"/>
  <c r="H3" i="1"/>
  <c r="J2" i="1"/>
  <c r="I2"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36673E-D12A-4FC9-9455-AD0F959B6829}"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C3F94978-FB1B-4BE0-9DB7-E6EF2E3B6AC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85A5BB0B-54F5-483E-95AF-F20BFD2A355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4" xr16:uid="{D5C3B506-03DC-4830-A39E-B525D3AEE87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F88B774-EF28-4805-BFC6-1ED95341FAE0}" name="WorksheetConnection_Book1.xlsx!data" type="102" refreshedVersion="8" minRefreshableVersion="5">
    <extLst>
      <ext xmlns:x15="http://schemas.microsoft.com/office/spreadsheetml/2010/11/main" uri="{DE250136-89BD-433C-8126-D09CA5730AF9}">
        <x15:connection id="data" autoDelete="1">
          <x15:rangePr sourceName="_xlcn.WorksheetConnection_Book1.xlsxdata"/>
        </x15:connection>
      </ext>
    </extLst>
  </connection>
</connections>
</file>

<file path=xl/sharedStrings.xml><?xml version="1.0" encoding="utf-8"?>
<sst xmlns="http://schemas.openxmlformats.org/spreadsheetml/2006/main" count="790" uniqueCount="27">
  <si>
    <t>Source.Name</t>
  </si>
  <si>
    <t>Final Date</t>
  </si>
  <si>
    <t>Product</t>
  </si>
  <si>
    <t>Units_Sold</t>
  </si>
  <si>
    <t>Target</t>
  </si>
  <si>
    <t>Corrected Revenue</t>
  </si>
  <si>
    <t>sales_moderntrade_n1.xlsx</t>
  </si>
  <si>
    <t>SUNSILK EXPERT</t>
  </si>
  <si>
    <t>DOVE NUTRITIVE</t>
  </si>
  <si>
    <t>OMO ACTIVE</t>
  </si>
  <si>
    <t>DOMESTOS ULTRA</t>
  </si>
  <si>
    <t>sales_moderntrade_n2.xlsx</t>
  </si>
  <si>
    <t>sales_moderntrade_n3.xlsx</t>
  </si>
  <si>
    <t>Sum of Units_Sold</t>
  </si>
  <si>
    <t>Revenue Bilan</t>
  </si>
  <si>
    <t>Acheivement Rate</t>
  </si>
  <si>
    <t>Average Selling Price</t>
  </si>
  <si>
    <t>Row Labels</t>
  </si>
  <si>
    <t>Grand Total</t>
  </si>
  <si>
    <t>Sum of Target</t>
  </si>
  <si>
    <t>Sum of Acheivement Rate</t>
  </si>
  <si>
    <t>MDG Modern Trade Sales Analytics Platform:</t>
  </si>
  <si>
    <t>Revenue</t>
  </si>
  <si>
    <t>Sum of Revenue</t>
  </si>
  <si>
    <t>Modern Trade n1</t>
  </si>
  <si>
    <t>Modern Trade n2</t>
  </si>
  <si>
    <t>Modern Trade 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</si>
</sst>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MAD]\ #,##0"/>
  </numFmts>
  <fonts count="3" x14ac:knownFonts="1">
    <font>
      <sz val="11"/>
      <color theme="1"/>
      <name val="Aptos Narrow"/>
      <family val="2"/>
      <scheme val="minor"/>
    </font>
    <font>
      <sz val="11"/>
      <color theme="1"/>
      <name val="Aptos Narrow"/>
      <family val="2"/>
      <scheme val="minor"/>
    </font>
    <font>
      <b/>
      <sz val="22"/>
      <color theme="3" tint="0.249977111117893"/>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9" fontId="0" fillId="0" borderId="0" xfId="1" applyFont="1"/>
    <xf numFmtId="166" fontId="0" fillId="0" borderId="0" xfId="1" applyNumberFormat="1" applyFont="1"/>
    <xf numFmtId="14" fontId="0" fillId="0" borderId="0" xfId="0" applyNumberFormat="1" applyAlignment="1">
      <alignment horizontal="left" vertical="center"/>
    </xf>
    <xf numFmtId="0" fontId="0" fillId="0" borderId="0" xfId="0" pivotButton="1"/>
    <xf numFmtId="0" fontId="0" fillId="0" borderId="0" xfId="0" applyAlignment="1">
      <alignment horizontal="left"/>
    </xf>
    <xf numFmtId="0" fontId="2" fillId="0" borderId="0" xfId="0" applyFont="1"/>
    <xf numFmtId="0" fontId="0" fillId="0" borderId="0" xfId="0" applyNumberFormat="1"/>
    <xf numFmtId="0" fontId="0" fillId="2" borderId="0" xfId="0" applyFill="1"/>
  </cellXfs>
  <cellStyles count="2">
    <cellStyle name="Normal" xfId="0" builtinId="0"/>
    <cellStyle name="Percent" xfId="1" builtinId="5"/>
  </cellStyles>
  <dxfs count="6">
    <dxf>
      <numFmt numFmtId="166" formatCode="[$MAD]\ #,##0"/>
    </dxf>
    <dxf>
      <numFmt numFmtId="13" formatCode="0%"/>
    </dxf>
    <dxf>
      <numFmt numFmtId="0" formatCode="General"/>
    </dxf>
    <dxf>
      <numFmt numFmtId="0" formatCode="General"/>
    </dxf>
    <dxf>
      <numFmt numFmtId="19" formatCode="dd/mm/yy"/>
      <alignment horizontal="left" vertical="center"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[MDG_Sales_Analytics_Dashboard(versionVolume1-Extension).xlsx]Dashboard_Backend!PivotTable4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0888940866425"/>
          <c:y val="6.0507952019886978E-2"/>
          <c:w val="0.66711095557527522"/>
          <c:h val="0.83352191079506333"/>
        </c:manualLayout>
      </c:layout>
      <c:barChart>
        <c:barDir val="col"/>
        <c:grouping val="clustered"/>
        <c:varyColors val="0"/>
        <c:ser>
          <c:idx val="0"/>
          <c:order val="0"/>
          <c:tx>
            <c:strRef>
              <c:f>Dashboard_Backend!$C$4</c:f>
              <c:strCache>
                <c:ptCount val="1"/>
                <c:pt idx="0">
                  <c:v>Sum of Target</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Dashboard_Backend!$B$5:$B$6</c:f>
              <c:strCache>
                <c:ptCount val="1"/>
                <c:pt idx="0">
                  <c:v>OMO ACTIVE</c:v>
                </c:pt>
              </c:strCache>
            </c:strRef>
          </c:cat>
          <c:val>
            <c:numRef>
              <c:f>Dashboard_Backend!$C$5:$C$6</c:f>
              <c:numCache>
                <c:formatCode>General</c:formatCode>
                <c:ptCount val="1"/>
                <c:pt idx="0">
                  <c:v>356366</c:v>
                </c:pt>
              </c:numCache>
            </c:numRef>
          </c:val>
          <c:extLst>
            <c:ext xmlns:c16="http://schemas.microsoft.com/office/drawing/2014/chart" uri="{C3380CC4-5D6E-409C-BE32-E72D297353CC}">
              <c16:uniqueId val="{00000000-5C19-470C-A519-F1F7B2A61167}"/>
            </c:ext>
          </c:extLst>
        </c:ser>
        <c:ser>
          <c:idx val="1"/>
          <c:order val="1"/>
          <c:tx>
            <c:strRef>
              <c:f>Dashboard_Backend!$D$4</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Dashboard_Backend!$B$5:$B$6</c:f>
              <c:strCache>
                <c:ptCount val="1"/>
                <c:pt idx="0">
                  <c:v>OMO ACTIVE</c:v>
                </c:pt>
              </c:strCache>
            </c:strRef>
          </c:cat>
          <c:val>
            <c:numRef>
              <c:f>Dashboard_Backend!$D$5:$D$6</c:f>
              <c:numCache>
                <c:formatCode>General</c:formatCode>
                <c:ptCount val="1"/>
                <c:pt idx="0">
                  <c:v>247260</c:v>
                </c:pt>
              </c:numCache>
            </c:numRef>
          </c:val>
          <c:extLst>
            <c:ext xmlns:c16="http://schemas.microsoft.com/office/drawing/2014/chart" uri="{C3380CC4-5D6E-409C-BE32-E72D297353CC}">
              <c16:uniqueId val="{00000001-5C19-470C-A519-F1F7B2A61167}"/>
            </c:ext>
          </c:extLst>
        </c:ser>
        <c:dLbls>
          <c:showLegendKey val="0"/>
          <c:showVal val="0"/>
          <c:showCatName val="0"/>
          <c:showSerName val="0"/>
          <c:showPercent val="0"/>
          <c:showBubbleSize val="0"/>
        </c:dLbls>
        <c:gapWidth val="269"/>
        <c:axId val="1028046720"/>
        <c:axId val="1028043840"/>
      </c:barChart>
      <c:lineChart>
        <c:grouping val="standard"/>
        <c:varyColors val="0"/>
        <c:ser>
          <c:idx val="2"/>
          <c:order val="2"/>
          <c:tx>
            <c:strRef>
              <c:f>Dashboard_Backend!$E$4</c:f>
              <c:strCache>
                <c:ptCount val="1"/>
                <c:pt idx="0">
                  <c:v>Sum of Acheivement Rate</c:v>
                </c:pt>
              </c:strCache>
            </c:strRef>
          </c:tx>
          <c:spPr>
            <a:ln w="34925" cap="rnd">
              <a:solidFill>
                <a:schemeClr val="accent1">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cat>
            <c:strRef>
              <c:f>Dashboard_Backend!$B$5:$B$6</c:f>
              <c:strCache>
                <c:ptCount val="1"/>
                <c:pt idx="0">
                  <c:v>OMO ACTIVE</c:v>
                </c:pt>
              </c:strCache>
            </c:strRef>
          </c:cat>
          <c:val>
            <c:numRef>
              <c:f>Dashboard_Backend!$E$5:$E$6</c:f>
              <c:numCache>
                <c:formatCode>General</c:formatCode>
                <c:ptCount val="1"/>
                <c:pt idx="0">
                  <c:v>39.373578989575215</c:v>
                </c:pt>
              </c:numCache>
            </c:numRef>
          </c:val>
          <c:smooth val="0"/>
          <c:extLst>
            <c:ext xmlns:c16="http://schemas.microsoft.com/office/drawing/2014/chart" uri="{C3380CC4-5D6E-409C-BE32-E72D297353CC}">
              <c16:uniqueId val="{00000002-5C19-470C-A519-F1F7B2A61167}"/>
            </c:ext>
          </c:extLst>
        </c:ser>
        <c:dLbls>
          <c:showLegendKey val="0"/>
          <c:showVal val="0"/>
          <c:showCatName val="0"/>
          <c:showSerName val="0"/>
          <c:showPercent val="0"/>
          <c:showBubbleSize val="0"/>
        </c:dLbls>
        <c:marker val="1"/>
        <c:smooth val="0"/>
        <c:axId val="1319084192"/>
        <c:axId val="1760894592"/>
      </c:lineChart>
      <c:catAx>
        <c:axId val="1028046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bg2">
                    <a:lumMod val="10000"/>
                  </a:schemeClr>
                </a:solidFill>
                <a:latin typeface="+mn-lt"/>
                <a:ea typeface="+mn-ea"/>
                <a:cs typeface="+mn-cs"/>
              </a:defRPr>
            </a:pPr>
            <a:endParaRPr lang="en-US"/>
          </a:p>
        </c:txPr>
        <c:crossAx val="1028043840"/>
        <c:crosses val="autoZero"/>
        <c:auto val="1"/>
        <c:lblAlgn val="ctr"/>
        <c:lblOffset val="100"/>
        <c:noMultiLvlLbl val="0"/>
      </c:catAx>
      <c:valAx>
        <c:axId val="102804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028046720"/>
        <c:crosses val="autoZero"/>
        <c:crossBetween val="between"/>
      </c:valAx>
      <c:valAx>
        <c:axId val="176089459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crossAx val="1319084192"/>
        <c:crosses val="max"/>
        <c:crossBetween val="between"/>
      </c:valAx>
      <c:catAx>
        <c:axId val="1319084192"/>
        <c:scaling>
          <c:orientation val="minMax"/>
        </c:scaling>
        <c:delete val="1"/>
        <c:axPos val="b"/>
        <c:numFmt formatCode="General" sourceLinked="1"/>
        <c:majorTickMark val="none"/>
        <c:minorTickMark val="none"/>
        <c:tickLblPos val="nextTo"/>
        <c:crossAx val="1760894592"/>
        <c:crosses val="autoZero"/>
        <c:auto val="1"/>
        <c:lblAlgn val="ctr"/>
        <c:lblOffset val="100"/>
        <c:noMultiLvlLbl val="0"/>
      </c:catAx>
      <c:spPr>
        <a:noFill/>
        <a:ln>
          <a:noFill/>
        </a:ln>
        <a:effectLst/>
      </c:spPr>
    </c:plotArea>
    <c:legend>
      <c:legendPos val="r"/>
      <c:layout>
        <c:manualLayout>
          <c:xMode val="edge"/>
          <c:yMode val="edge"/>
          <c:x val="0.8195575203858082"/>
          <c:y val="0.24509005512353127"/>
          <c:w val="0.17334337967864791"/>
          <c:h val="0.544236576057073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[MDG_Sales_Analytics_Dashboard(versionVolume1-Extension).xlsx]Dashboard_Backend!PivotTable2</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
          <c:y val="0"/>
          <c:w val="0.75001995120505272"/>
          <c:h val="1"/>
        </c:manualLayout>
      </c:layout>
      <c:doughnutChart>
        <c:varyColors val="1"/>
        <c:ser>
          <c:idx val="0"/>
          <c:order val="0"/>
          <c:tx>
            <c:strRef>
              <c:f>Dashboard_Backend!$H$4</c:f>
              <c:strCache>
                <c:ptCount val="1"/>
                <c:pt idx="0">
                  <c:v>Sum of Units_Sold</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6B5-4EE6-AA4F-CDBC5BC17216}"/>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6B5-4EE6-AA4F-CDBC5BC17216}"/>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6B5-4EE6-AA4F-CDBC5BC172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Dashboard_Backend!$G$5:$G$8</c:f>
              <c:strCache>
                <c:ptCount val="3"/>
                <c:pt idx="0">
                  <c:v>Modern Trade n1</c:v>
                </c:pt>
                <c:pt idx="1">
                  <c:v>Modern Trade n2</c:v>
                </c:pt>
                <c:pt idx="2">
                  <c:v>Modern Trade n3</c:v>
                </c:pt>
              </c:strCache>
            </c:strRef>
          </c:cat>
          <c:val>
            <c:numRef>
              <c:f>Dashboard_Backend!$H$5:$H$8</c:f>
              <c:numCache>
                <c:formatCode>General</c:formatCode>
                <c:ptCount val="3"/>
                <c:pt idx="0">
                  <c:v>1518</c:v>
                </c:pt>
                <c:pt idx="1">
                  <c:v>2963</c:v>
                </c:pt>
                <c:pt idx="2">
                  <c:v>3461</c:v>
                </c:pt>
              </c:numCache>
            </c:numRef>
          </c:val>
          <c:extLst>
            <c:ext xmlns:c16="http://schemas.microsoft.com/office/drawing/2014/chart" uri="{C3380CC4-5D6E-409C-BE32-E72D297353CC}">
              <c16:uniqueId val="{00000006-66B5-4EE6-AA4F-CDBC5BC17216}"/>
            </c:ext>
          </c:extLst>
        </c:ser>
        <c:ser>
          <c:idx val="1"/>
          <c:order val="1"/>
          <c:tx>
            <c:strRef>
              <c:f>Dashboard_Backend!$I$4</c:f>
              <c:strCache>
                <c:ptCount val="1"/>
                <c:pt idx="0">
                  <c:v>Sum of Revenue</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66B5-4EE6-AA4F-CDBC5BC17216}"/>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66B5-4EE6-AA4F-CDBC5BC17216}"/>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66B5-4EE6-AA4F-CDBC5BC172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Dashboard_Backend!$G$5:$G$8</c:f>
              <c:strCache>
                <c:ptCount val="3"/>
                <c:pt idx="0">
                  <c:v>Modern Trade n1</c:v>
                </c:pt>
                <c:pt idx="1">
                  <c:v>Modern Trade n2</c:v>
                </c:pt>
                <c:pt idx="2">
                  <c:v>Modern Trade n3</c:v>
                </c:pt>
              </c:strCache>
            </c:strRef>
          </c:cat>
          <c:val>
            <c:numRef>
              <c:f>Dashboard_Backend!$I$5:$I$8</c:f>
              <c:numCache>
                <c:formatCode>General</c:formatCode>
                <c:ptCount val="3"/>
                <c:pt idx="0">
                  <c:v>45540</c:v>
                </c:pt>
                <c:pt idx="1">
                  <c:v>97890</c:v>
                </c:pt>
                <c:pt idx="2">
                  <c:v>103830</c:v>
                </c:pt>
              </c:numCache>
            </c:numRef>
          </c:val>
          <c:extLst>
            <c:ext xmlns:c16="http://schemas.microsoft.com/office/drawing/2014/chart" uri="{C3380CC4-5D6E-409C-BE32-E72D297353CC}">
              <c16:uniqueId val="{0000000D-66B5-4EE6-AA4F-CDBC5BC1721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686548379820084"/>
          <c:y val="0.40370677522830561"/>
          <c:w val="0.25038251704776798"/>
          <c:h val="0.2474800798075582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193195</xdr:colOff>
      <xdr:row>2</xdr:row>
      <xdr:rowOff>125802</xdr:rowOff>
    </xdr:from>
    <xdr:to>
      <xdr:col>9</xdr:col>
      <xdr:colOff>315621</xdr:colOff>
      <xdr:row>20</xdr:row>
      <xdr:rowOff>139280</xdr:rowOff>
    </xdr:to>
    <xdr:graphicFrame macro="">
      <xdr:nvGraphicFramePr>
        <xdr:cNvPr id="2" name="Chart 1">
          <a:extLst>
            <a:ext uri="{FF2B5EF4-FFF2-40B4-BE49-F238E27FC236}">
              <a16:creationId xmlns:a16="http://schemas.microsoft.com/office/drawing/2014/main" id="{5EA75F6E-11EE-475B-A000-4C38E7240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612847</xdr:colOff>
      <xdr:row>2</xdr:row>
      <xdr:rowOff>81222</xdr:rowOff>
    </xdr:from>
    <xdr:to>
      <xdr:col>17</xdr:col>
      <xdr:colOff>324884</xdr:colOff>
      <xdr:row>20</xdr:row>
      <xdr:rowOff>95988</xdr:rowOff>
    </xdr:to>
    <xdr:graphicFrame macro="">
      <xdr:nvGraphicFramePr>
        <xdr:cNvPr id="6" name="Chart 5">
          <a:extLst>
            <a:ext uri="{FF2B5EF4-FFF2-40B4-BE49-F238E27FC236}">
              <a16:creationId xmlns:a16="http://schemas.microsoft.com/office/drawing/2014/main" id="{AC88F558-6B1B-46E2-9612-6DF907FAA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55102</xdr:colOff>
      <xdr:row>21</xdr:row>
      <xdr:rowOff>55104</xdr:rowOff>
    </xdr:from>
    <xdr:to>
      <xdr:col>10</xdr:col>
      <xdr:colOff>94462</xdr:colOff>
      <xdr:row>29</xdr:row>
      <xdr:rowOff>149566</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C166C186-BF49-1F3A-4AE0-40A87D04DE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85784" y="4006798"/>
              <a:ext cx="3070042" cy="1605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173181</xdr:colOff>
      <xdr:row>21</xdr:row>
      <xdr:rowOff>55103</xdr:rowOff>
    </xdr:from>
    <xdr:to>
      <xdr:col>14</xdr:col>
      <xdr:colOff>571972</xdr:colOff>
      <xdr:row>29</xdr:row>
      <xdr:rowOff>149566</xdr:rowOff>
    </xdr:to>
    <mc:AlternateContent xmlns:mc="http://schemas.openxmlformats.org/markup-compatibility/2006">
      <mc:Choice xmlns:a14="http://schemas.microsoft.com/office/drawing/2010/main" Requires="a14">
        <xdr:graphicFrame macro="">
          <xdr:nvGraphicFramePr>
            <xdr:cNvPr id="8" name="Revenue Bilan">
              <a:extLst>
                <a:ext uri="{FF2B5EF4-FFF2-40B4-BE49-F238E27FC236}">
                  <a16:creationId xmlns:a16="http://schemas.microsoft.com/office/drawing/2014/main" id="{1DE958AF-F830-FBA3-3E83-D2C0CC273FB1}"/>
                </a:ext>
              </a:extLst>
            </xdr:cNvPr>
            <xdr:cNvGraphicFramePr/>
          </xdr:nvGraphicFramePr>
          <xdr:xfrm>
            <a:off x="0" y="0"/>
            <a:ext cx="0" cy="0"/>
          </xdr:xfrm>
          <a:graphic>
            <a:graphicData uri="http://schemas.microsoft.com/office/drawing/2010/slicer">
              <sle:slicer xmlns:sle="http://schemas.microsoft.com/office/drawing/2010/slicer" name="Revenue Bilan"/>
            </a:graphicData>
          </a:graphic>
        </xdr:graphicFrame>
      </mc:Choice>
      <mc:Fallback>
        <xdr:sp macro="" textlink="">
          <xdr:nvSpPr>
            <xdr:cNvPr id="0" name=""/>
            <xdr:cNvSpPr>
              <a:spLocks noTextEdit="1"/>
            </xdr:cNvSpPr>
          </xdr:nvSpPr>
          <xdr:spPr>
            <a:xfrm>
              <a:off x="6234545" y="4006797"/>
              <a:ext cx="2823336" cy="16058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Benelmaaza" refreshedDate="46219.629192592591" backgroundQuery="1" createdVersion="8" refreshedVersion="8" minRefreshableVersion="3" recordCount="0" supportSubquery="1" supportAdvancedDrill="1" xr:uid="{9D968882-1B64-4B89-9066-50ED1B154C67}">
  <cacheSource type="external" connectionId="4"/>
  <cacheFields count="5">
    <cacheField name="[data].[Source.Name].[Source.Name]" caption="Source.Name" numFmtId="0" level="1">
      <sharedItems count="3">
        <s v="sales_moderntrade_n1.xlsx"/>
        <s v="sales_moderntrade_n2.xlsx"/>
        <s v="sales_moderntrade_n3.xlsx"/>
      </sharedItems>
    </cacheField>
    <cacheField name="[Measures].[Sum of Units_Sold]" caption="Sum of Units_Sold" numFmtId="0" hierarchy="17" level="32767"/>
    <cacheField name="[Measures].[Sum of Revenue]" caption="Sum of Revenue" numFmtId="0" hierarchy="16" level="32767"/>
    <cacheField name="[data].[Product].[Product]" caption="Product" numFmtId="0" hierarchy="2" level="1">
      <sharedItems containsSemiMixedTypes="0" containsNonDate="0" containsString="0"/>
    </cacheField>
    <cacheField name="[data].[Revenue Bilan].[Revenue Bilan]" caption="Revenue Bilan" numFmtId="0" hierarchy="7" level="1">
      <sharedItems containsSemiMixedTypes="0" containsNonDate="0" containsString="0"/>
    </cacheField>
  </cacheFields>
  <cacheHierarchies count="19">
    <cacheHierarchy uniqueName="[data].[Source.Name]" caption="Source.Name" attribute="1" defaultMemberUniqueName="[data].[Source.Name].[All]" allUniqueName="[data].[Source.Name].[All]" dimensionUniqueName="[data]" displayFolder="" count="2" memberValueDatatype="130" unbalanced="0">
      <fieldsUsage count="2">
        <fieldUsage x="-1"/>
        <fieldUsage x="0"/>
      </fieldsUsage>
    </cacheHierarchy>
    <cacheHierarchy uniqueName="[data].[Final Date]" caption="Final Date" attribute="1" time="1" defaultMemberUniqueName="[data].[Final Date].[All]" allUniqueName="[data].[Final Date].[All]" dimensionUniqueName="[data]" displayFolder="" count="2" memberValueDatatype="7" unbalanced="0"/>
    <cacheHierarchy uniqueName="[data].[Product]" caption="Product" attribute="1" defaultMemberUniqueName="[data].[Product].[All]" allUniqueName="[data].[Product].[All]" dimensionUniqueName="[data]" displayFolder="" count="2" memberValueDatatype="130" unbalanced="0">
      <fieldsUsage count="2">
        <fieldUsage x="-1"/>
        <fieldUsage x="3"/>
      </fieldsUsage>
    </cacheHierarchy>
    <cacheHierarchy uniqueName="[data].[Units_Sold]" caption="Units_Sold" attribute="1" defaultMemberUniqueName="[data].[Units_Sold].[All]" allUniqueName="[data].[Units_Sold].[All]" dimensionUniqueName="[data]" displayFolder="" count="2" memberValueDatatype="20" unbalanced="0"/>
    <cacheHierarchy uniqueName="[data].[Revenue]" caption="Revenue" attribute="1" defaultMemberUniqueName="[data].[Revenue].[All]" allUniqueName="[data].[Revenue].[All]" dimensionUniqueName="[data]" displayFolder="" count="2" memberValueDatatype="20" unbalanced="0"/>
    <cacheHierarchy uniqueName="[data].[Target]" caption="Target" attribute="1" defaultMemberUniqueName="[data].[Target].[All]" allUniqueName="[data].[Target].[All]" dimensionUniqueName="[data]" displayFolder="" count="2" memberValueDatatype="20" unbalanced="0"/>
    <cacheHierarchy uniqueName="[data].[Corrected Revenue]" caption="Corrected Revenue" attribute="1" defaultMemberUniqueName="[data].[Corrected Revenue].[All]" allUniqueName="[data].[Corrected Revenue].[All]" dimensionUniqueName="[data]" displayFolder="" count="2" memberValueDatatype="20" unbalanced="0"/>
    <cacheHierarchy uniqueName="[data].[Revenue Bilan]" caption="Revenue Bilan" attribute="1" defaultMemberUniqueName="[data].[Revenue Bilan].[All]" allUniqueName="[data].[Revenue Bilan].[All]" dimensionUniqueName="[data]" displayFolder="" count="2" memberValueDatatype="130" unbalanced="0">
      <fieldsUsage count="2">
        <fieldUsage x="-1"/>
        <fieldUsage x="4"/>
      </fieldsUsage>
    </cacheHierarchy>
    <cacheHierarchy uniqueName="[data].[Acheivement Rate]" caption="Acheivement Rate" attribute="1" defaultMemberUniqueName="[data].[Acheivement Rate].[All]" allUniqueName="[data].[Acheivement Rate].[All]" dimensionUniqueName="[data]" displayFolder="" count="2" memberValueDatatype="5" unbalanced="0"/>
    <cacheHierarchy uniqueName="[data].[Average Selling Price]" caption="Average Selling Price" attribute="1" defaultMemberUniqueName="[data].[Average Selling Price].[All]" allUniqueName="[data].[Average Selling Price].[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arget]" caption="Sum of Target" measure="1" displayFolder="" measureGroup="data" count="0" hidden="1">
      <extLst>
        <ext xmlns:x15="http://schemas.microsoft.com/office/spreadsheetml/2010/11/main" uri="{B97F6D7D-B522-45F9-BDA1-12C45D357490}">
          <x15:cacheHierarchy aggregatedColumn="5"/>
        </ext>
      </extLst>
    </cacheHierarchy>
    <cacheHierarchy uniqueName="[Measures].[Sum of Acheivement Rate]" caption="Sum of Acheivement Rate" measure="1" displayFolder="" measureGroup="data" count="0" hidden="1">
      <extLst>
        <ext xmlns:x15="http://schemas.microsoft.com/office/spreadsheetml/2010/11/main" uri="{B97F6D7D-B522-45F9-BDA1-12C45D357490}">
          <x15:cacheHierarchy aggregatedColumn="8"/>
        </ext>
      </extLst>
    </cacheHierarchy>
    <cacheHierarchy uniqueName="[Measures].[Average of Target]" caption="Average of Target" measure="1" displayFolder="" measureGroup="data" count="0" hidden="1">
      <extLst>
        <ext xmlns:x15="http://schemas.microsoft.com/office/spreadsheetml/2010/11/main" uri="{B97F6D7D-B522-45F9-BDA1-12C45D357490}">
          <x15:cacheHierarchy aggregatedColumn="5"/>
        </ext>
      </extLst>
    </cacheHierarchy>
    <cacheHierarchy uniqueName="[Measures].[Average of Acheivement Rate]" caption="Average of Acheivement Rate" measure="1" displayFolder="" measureGroup="data"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Units_Sold]" caption="Sum of Units_Sold"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Revenue Bilan]" caption="Count of Revenue Bilan" measure="1" displayFolder="" measureGroup="data" count="0" hidden="1">
      <extLst>
        <ext xmlns:x15="http://schemas.microsoft.com/office/spreadsheetml/2010/11/main" uri="{B97F6D7D-B522-45F9-BDA1-12C45D357490}">
          <x15:cacheHierarchy aggregatedColumn="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Benelmaaza" refreshedDate="46219.629193171299" backgroundQuery="1" createdVersion="8" refreshedVersion="8" minRefreshableVersion="3" recordCount="0" supportSubquery="1" supportAdvancedDrill="1" xr:uid="{94C1323F-C07C-4C1C-8A36-F26C1DEDBD0D}">
  <cacheSource type="external" connectionId="4"/>
  <cacheFields count="5">
    <cacheField name="[data].[Product].[Product]" caption="Product" numFmtId="0" hierarchy="2" level="1">
      <sharedItems count="1">
        <s v="OMO ACTIVE"/>
      </sharedItems>
    </cacheField>
    <cacheField name="[Measures].[Sum of Target]" caption="Sum of Target" numFmtId="0" hierarchy="12" level="32767"/>
    <cacheField name="[Measures].[Sum of Revenue]" caption="Sum of Revenue" numFmtId="0" hierarchy="16" level="32767"/>
    <cacheField name="[Measures].[Sum of Acheivement Rate]" caption="Sum of Acheivement Rate" numFmtId="0" hierarchy="13" level="32767"/>
    <cacheField name="[data].[Revenue Bilan].[Revenue Bilan]" caption="Revenue Bilan" numFmtId="0" hierarchy="7" level="1">
      <sharedItems containsSemiMixedTypes="0" containsNonDate="0" containsString="0"/>
    </cacheField>
  </cacheFields>
  <cacheHierarchies count="19">
    <cacheHierarchy uniqueName="[data].[Source.Name]" caption="Source.Name" attribute="1" defaultMemberUniqueName="[data].[Source.Name].[All]" allUniqueName="[data].[Source.Name].[All]" dimensionUniqueName="[data]" displayFolder="" count="2" memberValueDatatype="130" unbalanced="0"/>
    <cacheHierarchy uniqueName="[data].[Final Date]" caption="Final Date" attribute="1" time="1" defaultMemberUniqueName="[data].[Final Date].[All]" allUniqueName="[data].[Final Date].[All]" dimensionUniqueName="[data]" displayFolder="" count="2" memberValueDatatype="7"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Units_Sold]" caption="Units_Sold" attribute="1" defaultMemberUniqueName="[data].[Units_Sold].[All]" allUniqueName="[data].[Units_Sold].[All]" dimensionUniqueName="[data]" displayFolder="" count="2" memberValueDatatype="20" unbalanced="0"/>
    <cacheHierarchy uniqueName="[data].[Revenue]" caption="Revenue" attribute="1" defaultMemberUniqueName="[data].[Revenue].[All]" allUniqueName="[data].[Revenue].[All]" dimensionUniqueName="[data]" displayFolder="" count="2" memberValueDatatype="20" unbalanced="0"/>
    <cacheHierarchy uniqueName="[data].[Target]" caption="Target" attribute="1" defaultMemberUniqueName="[data].[Target].[All]" allUniqueName="[data].[Target].[All]" dimensionUniqueName="[data]" displayFolder="" count="2" memberValueDatatype="20" unbalanced="0"/>
    <cacheHierarchy uniqueName="[data].[Corrected Revenue]" caption="Corrected Revenue" attribute="1" defaultMemberUniqueName="[data].[Corrected Revenue].[All]" allUniqueName="[data].[Corrected Revenue].[All]" dimensionUniqueName="[data]" displayFolder="" count="2" memberValueDatatype="20" unbalanced="0"/>
    <cacheHierarchy uniqueName="[data].[Revenue Bilan]" caption="Revenue Bilan" attribute="1" defaultMemberUniqueName="[data].[Revenue Bilan].[All]" allUniqueName="[data].[Revenue Bilan].[All]" dimensionUniqueName="[data]" displayFolder="" count="2" memberValueDatatype="130" unbalanced="0">
      <fieldsUsage count="2">
        <fieldUsage x="-1"/>
        <fieldUsage x="4"/>
      </fieldsUsage>
    </cacheHierarchy>
    <cacheHierarchy uniqueName="[data].[Acheivement Rate]" caption="Acheivement Rate" attribute="1" defaultMemberUniqueName="[data].[Acheivement Rate].[All]" allUniqueName="[data].[Acheivement Rate].[All]" dimensionUniqueName="[data]" displayFolder="" count="2" memberValueDatatype="5" unbalanced="0"/>
    <cacheHierarchy uniqueName="[data].[Average Selling Price]" caption="Average Selling Price" attribute="1" defaultMemberUniqueName="[data].[Average Selling Price].[All]" allUniqueName="[data].[Average Selling Price].[All]" dimensionUniqueName="[data]" displayFolder="" count="2"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arget]" caption="Sum of Target" measure="1" displayFolder="" measureGroup="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Acheivement Rate]" caption="Sum of Acheivement Rate" measure="1" displayFolder="" measureGroup="data" count="0" oneField="1" hidden="1">
      <fieldsUsage count="1">
        <fieldUsage x="3"/>
      </fieldsUsage>
      <extLst>
        <ext xmlns:x15="http://schemas.microsoft.com/office/spreadsheetml/2010/11/main" uri="{B97F6D7D-B522-45F9-BDA1-12C45D357490}">
          <x15:cacheHierarchy aggregatedColumn="8"/>
        </ext>
      </extLst>
    </cacheHierarchy>
    <cacheHierarchy uniqueName="[Measures].[Average of Target]" caption="Average of Target" measure="1" displayFolder="" measureGroup="data" count="0" hidden="1">
      <extLst>
        <ext xmlns:x15="http://schemas.microsoft.com/office/spreadsheetml/2010/11/main" uri="{B97F6D7D-B522-45F9-BDA1-12C45D357490}">
          <x15:cacheHierarchy aggregatedColumn="5"/>
        </ext>
      </extLst>
    </cacheHierarchy>
    <cacheHierarchy uniqueName="[Measures].[Average of Acheivement Rate]" caption="Average of Acheivement Rate" measure="1" displayFolder="" measureGroup="data"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Units_Sold]" caption="Sum of Units_Sold" measure="1" displayFolder="" measureGroup="data" count="0" hidden="1">
      <extLst>
        <ext xmlns:x15="http://schemas.microsoft.com/office/spreadsheetml/2010/11/main" uri="{B97F6D7D-B522-45F9-BDA1-12C45D357490}">
          <x15:cacheHierarchy aggregatedColumn="3"/>
        </ext>
      </extLst>
    </cacheHierarchy>
    <cacheHierarchy uniqueName="[Measures].[Count of Revenue Bilan]" caption="Count of Revenue Bilan" measure="1" displayFolder="" measureGroup="data" count="0" hidden="1">
      <extLst>
        <ext xmlns:x15="http://schemas.microsoft.com/office/spreadsheetml/2010/11/main" uri="{B97F6D7D-B522-45F9-BDA1-12C45D357490}">
          <x15:cacheHierarchy aggregatedColumn="7"/>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Benelmaaza" refreshedDate="46219.625491435188" backgroundQuery="1" createdVersion="3" refreshedVersion="8" minRefreshableVersion="3" recordCount="0" supportSubquery="1" supportAdvancedDrill="1" xr:uid="{CF3293F8-F943-4A81-B092-BA931601712D}">
  <cacheSource type="external" connectionId="4">
    <extLst>
      <ext xmlns:x14="http://schemas.microsoft.com/office/spreadsheetml/2009/9/main" uri="{F057638F-6D5F-4e77-A914-E7F072B9BCA8}">
        <x14:sourceConnection name="ThisWorkbookDataModel"/>
      </ext>
    </extLst>
  </cacheSource>
  <cacheFields count="0"/>
  <cacheHierarchies count="19">
    <cacheHierarchy uniqueName="[data].[Source.Name]" caption="Source.Name" attribute="1" defaultMemberUniqueName="[data].[Source.Name].[All]" allUniqueName="[data].[Source.Name].[All]" dimensionUniqueName="[data]" displayFolder="" count="0" memberValueDatatype="130" unbalanced="0"/>
    <cacheHierarchy uniqueName="[data].[Final Date]" caption="Final Date" attribute="1" time="1" defaultMemberUniqueName="[data].[Final Date].[All]" allUniqueName="[data].[Final Date].[All]" dimensionUniqueName="[data]" displayFolder="" count="0" memberValueDatatype="7" unbalanced="0"/>
    <cacheHierarchy uniqueName="[data].[Product]" caption="Product" attribute="1" defaultMemberUniqueName="[data].[Product].[All]" allUniqueName="[data].[Product].[All]" dimensionUniqueName="[data]" displayFolder="" count="2" memberValueDatatype="130" unbalanced="0"/>
    <cacheHierarchy uniqueName="[data].[Units_Sold]" caption="Units_Sold" attribute="1" defaultMemberUniqueName="[data].[Units_Sold].[All]" allUniqueName="[data].[Units_Sold].[All]" dimensionUniqueName="[data]" displayFolder="" count="2" memberValueDatatype="20" unbalanced="0"/>
    <cacheHierarchy uniqueName="[data].[Revenue]" caption="Revenue" attribute="1" defaultMemberUniqueName="[data].[Revenue].[All]" allUniqueName="[data].[Revenue].[All]" dimensionUniqueName="[data]" displayFolder="" count="0" memberValueDatatype="20" unbalanced="0"/>
    <cacheHierarchy uniqueName="[data].[Target]" caption="Target" attribute="1" defaultMemberUniqueName="[data].[Target].[All]" allUniqueName="[data].[Target].[All]" dimensionUniqueName="[data]" displayFolder="" count="0" memberValueDatatype="20" unbalanced="0"/>
    <cacheHierarchy uniqueName="[data].[Corrected Revenue]" caption="Corrected Revenue" attribute="1" defaultMemberUniqueName="[data].[Corrected Revenue].[All]" allUniqueName="[data].[Corrected Revenue].[All]" dimensionUniqueName="[data]" displayFolder="" count="0" memberValueDatatype="20" unbalanced="0"/>
    <cacheHierarchy uniqueName="[data].[Revenue Bilan]" caption="Revenue Bilan" attribute="1" defaultMemberUniqueName="[data].[Revenue Bilan].[All]" allUniqueName="[data].[Revenue Bilan].[All]" dimensionUniqueName="[data]" displayFolder="" count="2" memberValueDatatype="130" unbalanced="0"/>
    <cacheHierarchy uniqueName="[data].[Acheivement Rate]" caption="Acheivement Rate" attribute="1" defaultMemberUniqueName="[data].[Acheivement Rate].[All]" allUniqueName="[data].[Acheivement Rate].[All]" dimensionUniqueName="[data]" displayFolder="" count="0" memberValueDatatype="5" unbalanced="0"/>
    <cacheHierarchy uniqueName="[data].[Average Selling Price]" caption="Average Selling Price" attribute="1" defaultMemberUniqueName="[data].[Average Selling Price].[All]" allUniqueName="[data].[Average Selling Price].[All]" dimensionUniqueName="[data]" displayFolder="" count="0" memberValueDatatype="20" unbalanced="0"/>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Target]" caption="Sum of Target" measure="1" displayFolder="" measureGroup="data" count="0" hidden="1">
      <extLst>
        <ext xmlns:x15="http://schemas.microsoft.com/office/spreadsheetml/2010/11/main" uri="{B97F6D7D-B522-45F9-BDA1-12C45D357490}">
          <x15:cacheHierarchy aggregatedColumn="5"/>
        </ext>
      </extLst>
    </cacheHierarchy>
    <cacheHierarchy uniqueName="[Measures].[Sum of Acheivement Rate]" caption="Sum of Acheivement Rate" measure="1" displayFolder="" measureGroup="data" count="0" hidden="1">
      <extLst>
        <ext xmlns:x15="http://schemas.microsoft.com/office/spreadsheetml/2010/11/main" uri="{B97F6D7D-B522-45F9-BDA1-12C45D357490}">
          <x15:cacheHierarchy aggregatedColumn="8"/>
        </ext>
      </extLst>
    </cacheHierarchy>
    <cacheHierarchy uniqueName="[Measures].[Average of Target]" caption="Average of Target" measure="1" displayFolder="" measureGroup="data" count="0" hidden="1">
      <extLst>
        <ext xmlns:x15="http://schemas.microsoft.com/office/spreadsheetml/2010/11/main" uri="{B97F6D7D-B522-45F9-BDA1-12C45D357490}">
          <x15:cacheHierarchy aggregatedColumn="5"/>
        </ext>
      </extLst>
    </cacheHierarchy>
    <cacheHierarchy uniqueName="[Measures].[Average of Acheivement Rate]" caption="Average of Acheivement Rate" measure="1" displayFolder="" measureGroup="data"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data" count="0" hidden="1">
      <extLst>
        <ext xmlns:x15="http://schemas.microsoft.com/office/spreadsheetml/2010/11/main" uri="{B97F6D7D-B522-45F9-BDA1-12C45D357490}">
          <x15:cacheHierarchy aggregatedColumn="4"/>
        </ext>
      </extLst>
    </cacheHierarchy>
    <cacheHierarchy uniqueName="[Measures].[Sum of Units_Sold]" caption="Sum of Units_Sold" measure="1" displayFolder="" measureGroup="data" count="0" hidden="1">
      <extLst>
        <ext xmlns:x15="http://schemas.microsoft.com/office/spreadsheetml/2010/11/main" uri="{B97F6D7D-B522-45F9-BDA1-12C45D357490}">
          <x15:cacheHierarchy aggregatedColumn="3"/>
        </ext>
      </extLst>
    </cacheHierarchy>
    <cacheHierarchy uniqueName="[Measures].[Count of Revenue Bilan]" caption="Count of Revenue Bilan" measure="1" displayFolder="" measureGroup="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295585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488B8-4D22-473F-980D-5574B97D43D4}" name="PivotTable2" cacheId="2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4:I8" firstHeaderRow="0" firstDataRow="1" firstDataCol="1"/>
  <pivotFields count="5">
    <pivotField axis="axisRow" allDrilled="1" subtotalTop="0" showAll="0" dataSourceSort="1" defaultSubtotal="0" defaultAttributeDrillState="1">
      <items count="3">
        <item n="Modern Trade n1" x="0"/>
        <item n="Modern Trade n2" x="1"/>
        <item n="Modern Trade n3"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Units_Sold" fld="1" baseField="0" baseItem="0"/>
    <dataField name="Sum of Revenue" fld="2" baseField="0" baseItem="0"/>
  </dataFields>
  <chartFormats count="8">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0" count="1" selected="0">
            <x v="0"/>
          </reference>
        </references>
      </pivotArea>
    </chartFormat>
    <chartFormat chart="17" format="12">
      <pivotArea type="data" outline="0" fieldPosition="0">
        <references count="2">
          <reference field="4294967294" count="1" selected="0">
            <x v="0"/>
          </reference>
          <reference field="0" count="1" selected="0">
            <x v="1"/>
          </reference>
        </references>
      </pivotArea>
    </chartFormat>
    <chartFormat chart="17" format="13">
      <pivotArea type="data" outline="0" fieldPosition="0">
        <references count="2">
          <reference field="4294967294" count="1" selected="0">
            <x v="0"/>
          </reference>
          <reference field="0" count="1" selected="0">
            <x v="2"/>
          </reference>
        </references>
      </pivotArea>
    </chartFormat>
    <chartFormat chart="17" format="14" series="1">
      <pivotArea type="data" outline="0" fieldPosition="0">
        <references count="1">
          <reference field="4294967294" count="1" selected="0">
            <x v="1"/>
          </reference>
        </references>
      </pivotArea>
    </chartFormat>
    <chartFormat chart="17" format="15">
      <pivotArea type="data" outline="0" fieldPosition="0">
        <references count="2">
          <reference field="4294967294" count="1" selected="0">
            <x v="1"/>
          </reference>
          <reference field="0" count="1" selected="0">
            <x v="0"/>
          </reference>
        </references>
      </pivotArea>
    </chartFormat>
    <chartFormat chart="17" format="16">
      <pivotArea type="data" outline="0" fieldPosition="0">
        <references count="2">
          <reference field="4294967294" count="1" selected="0">
            <x v="1"/>
          </reference>
          <reference field="0" count="1" selected="0">
            <x v="1"/>
          </reference>
        </references>
      </pivotArea>
    </chartFormat>
    <chartFormat chart="17" format="17">
      <pivotArea type="data" outline="0" fieldPosition="0">
        <references count="2">
          <reference field="4294967294" count="1" selected="0">
            <x v="1"/>
          </reference>
          <reference field="0" count="1" selected="0">
            <x v="2"/>
          </reference>
        </references>
      </pivotArea>
    </chartFormat>
  </chartFormats>
  <pivotHierarchies count="19">
    <pivotHierarchy dragToData="1"/>
    <pivotHierarchy dragToData="1"/>
    <pivotHierarchy multipleItemSelectionAllowed="1" dragToData="1">
      <members count="1" level="1">
        <member name="[data].[Product].&amp;[OMO ACTIVE]"/>
      </members>
    </pivotHierarchy>
    <pivotHierarchy dragToData="1"/>
    <pivotHierarchy dragToData="1"/>
    <pivotHierarchy dragToData="1"/>
    <pivotHierarchy dragToData="1"/>
    <pivotHierarchy multipleItemSelectionAllowed="1" dragToData="1">
      <members count="1" level="1">
        <member name="[data].[Revenue Bilan].&amp;[Low Profit]"/>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7C8197-435A-42AD-A6FB-667FC7A27DC2}" name="PivotTable4" cacheId="2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4:E6"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Sum of Target" fld="1" baseField="0" baseItem="0"/>
    <dataField name="Sum of Revenue" fld="2" baseField="0" baseItem="0"/>
    <dataField name="Sum of Acheivement Rat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19">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ata].[Revenue Bilan].&amp;[Low Profit]"/>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E4D2BA-748A-43F2-AF98-A8894B9CC405}" autoFormatId="16" applyNumberFormats="0" applyBorderFormats="0" applyFontFormats="0" applyPatternFormats="0" applyAlignmentFormats="0" applyWidthHeightFormats="0">
  <queryTableRefresh nextId="16" unboundColumnsRight="3">
    <queryTableFields count="10">
      <queryTableField id="1" name="Source.Name" tableColumnId="1"/>
      <queryTableField id="7" name="Final Date" tableColumnId="2"/>
      <queryTableField id="3" name="Product" tableColumnId="3"/>
      <queryTableField id="4" name="Units_Sold" tableColumnId="4"/>
      <queryTableField id="14" name="Revenue" tableColumnId="10"/>
      <queryTableField id="6" name="Target" tableColumnId="6"/>
      <queryTableField id="9" name="Corrected Revenue" tableColumnId="7"/>
      <queryTableField id="11" dataBound="0" tableColumnId="8"/>
      <queryTableField id="12" dataBound="0" tableColumnId="5"/>
      <queryTableField id="13" dataBound="0" tableColumnId="9"/>
    </queryTableFields>
    <queryTableDeletedFields count="1">
      <deletedField name="Revenu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6A8FCF5-50C0-4B0F-B48A-2EEA4BB1C050}" sourceName="[data].[Product]">
  <pivotTables>
    <pivotTable tabId="7" name="PivotTable4"/>
    <pivotTable tabId="7" name="PivotTable2"/>
  </pivotTables>
  <data>
    <olap pivotCacheId="1629558535">
      <levels count="2">
        <level uniqueName="[data].[Product].[(All)]" sourceCaption="(All)" count="0"/>
        <level uniqueName="[data].[Product].[Product]" sourceCaption="Product" count="4">
          <ranges>
            <range startItem="0">
              <i n="[data].[Product].&amp;[DOMESTOS ULTRA]" c="DOMESTOS ULTRA"/>
              <i n="[data].[Product].&amp;[DOVE NUTRITIVE]" c="DOVE NUTRITIVE"/>
              <i n="[data].[Product].&amp;[OMO ACTIVE]" c="OMO ACTIVE"/>
              <i n="[data].[Product].&amp;[SUNSILK EXPERT]" c="SUNSILK EXPERT"/>
            </range>
          </ranges>
        </level>
      </levels>
      <selections count="1">
        <selection n="[data].[Product].&amp;[OMO ACTIV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Bilan" xr10:uid="{C6C3D4D0-35E0-4E53-8263-8F38F63C2192}" sourceName="[data].[Revenue Bilan]">
  <pivotTables>
    <pivotTable tabId="7" name="PivotTable2"/>
    <pivotTable tabId="7" name="PivotTable4"/>
  </pivotTables>
  <data>
    <olap pivotCacheId="1629558535">
      <levels count="2">
        <level uniqueName="[data].[Revenue Bilan].[(All)]" sourceCaption="(All)" count="0"/>
        <level uniqueName="[data].[Revenue Bilan].[Revenue Bilan]" sourceCaption="Revenue Bilan" count="2">
          <ranges>
            <range startItem="0">
              <i n="[data].[Revenue Bilan].&amp;[Good Profit]" c="Good Profit"/>
              <i n="[data].[Revenue Bilan].&amp;[Low Profit]" c="Low Profit"/>
            </range>
          </ranges>
        </level>
      </levels>
      <selections count="1">
        <selection n="[data].[Revenue Bilan].&amp;[Low Profi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207C85E-3E31-42E5-B635-909AD561DF89}" cache="Slicer_Product" caption="Product" level="1" rowHeight="257175"/>
  <slicer name="Revenue Bilan" xr10:uid="{B96B4476-8EF5-430B-AF8F-7B7830CC74B0}" cache="Slicer_Revenue_Bilan" caption="Revenue Bila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4CA9D7-DBFA-4B2C-B632-A01FC385D242}" name="CleanSalesData" displayName="CleanSalesData" ref="A1:J384" tableType="queryTable" totalsRowShown="0">
  <autoFilter ref="A1:J384" xr:uid="{054CA9D7-DBFA-4B2C-B632-A01FC385D242}"/>
  <tableColumns count="10">
    <tableColumn id="1" xr3:uid="{54116024-AE41-415F-834F-012D7AC1FB76}" uniqueName="1" name="Source.Name" queryTableFieldId="1" dataDxfId="5"/>
    <tableColumn id="2" xr3:uid="{076B5551-345E-47B4-913C-AA85AE545A7B}" uniqueName="2" name="Final Date" queryTableFieldId="7" dataDxfId="4"/>
    <tableColumn id="3" xr3:uid="{E16D8844-62D6-4270-9013-92771D8D2AF4}" uniqueName="3" name="Product" queryTableFieldId="3" dataDxfId="3"/>
    <tableColumn id="4" xr3:uid="{E9DDEBAD-4E4F-4C32-B34F-A3556315F41C}" uniqueName="4" name="Units_Sold" queryTableFieldId="4"/>
    <tableColumn id="10" xr3:uid="{8705C851-AA78-4962-8B31-2233F1CD7758}" uniqueName="10" name="Revenue" queryTableFieldId="14"/>
    <tableColumn id="6" xr3:uid="{F44501E3-179C-41D8-BC25-01DE3EE3EDED}" uniqueName="6" name="Target" queryTableFieldId="6"/>
    <tableColumn id="7" xr3:uid="{D32D23B7-C839-46FD-991B-9BD89468D7FE}" uniqueName="7" name="Corrected Revenue" queryTableFieldId="9"/>
    <tableColumn id="8" xr3:uid="{70509D44-222F-443E-8C42-35CA89260BAF}" uniqueName="8" name="Revenue Bilan" queryTableFieldId="11" dataDxfId="2">
      <calculatedColumnFormula>IF(CleanSalesData[[#This Row],[Corrected Revenue]]&gt;CleanSalesData[[#This Row],[Target]], "Good Profit", "Low Profit"  )</calculatedColumnFormula>
    </tableColumn>
    <tableColumn id="5" xr3:uid="{0B8514A7-33C7-455E-B79B-98B63FECEEB5}" uniqueName="5" name="Acheivement Rate" queryTableFieldId="12" dataDxfId="1" dataCellStyle="Percent">
      <calculatedColumnFormula>(CleanSalesData[[#This Row],[Corrected Revenue]]/CleanSalesData[[#This Row],[Target]])</calculatedColumnFormula>
    </tableColumn>
    <tableColumn id="9" xr3:uid="{5CEAAAE4-DEFF-40F2-80F0-B1D8862D5310}" uniqueName="9" name="Average Selling Price" queryTableFieldId="13" dataDxfId="0" dataCellStyle="Percent">
      <calculatedColumnFormula>IF(CleanSalesData[[#This Row],[Units_Sold]]=0,0,CleanSalesData[[#This Row],[Corrected Revenue]]/CleanSalesData[[#This Row],[Units_Sold]])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39E13-22A8-4C39-BBA7-820ED3301F5C}">
  <dimension ref="A1:J384"/>
  <sheetViews>
    <sheetView topLeftCell="A2" zoomScale="136" workbookViewId="0">
      <selection activeCell="A3" sqref="A3"/>
    </sheetView>
  </sheetViews>
  <sheetFormatPr defaultRowHeight="15" x14ac:dyDescent="0.25"/>
  <cols>
    <col min="1" max="1" width="25.28515625" bestFit="1" customWidth="1"/>
    <col min="2" max="2" width="12.28515625" style="3" bestFit="1" customWidth="1"/>
    <col min="3" max="3" width="16.7109375" bestFit="1" customWidth="1"/>
    <col min="4" max="4" width="12.85546875" bestFit="1" customWidth="1"/>
    <col min="5" max="5" width="11.28515625" bestFit="1" customWidth="1"/>
    <col min="6" max="6" width="8.85546875" bestFit="1" customWidth="1"/>
    <col min="7" max="7" width="21.140625" bestFit="1" customWidth="1"/>
    <col min="8" max="8" width="16.28515625" bestFit="1" customWidth="1"/>
    <col min="9" max="9" width="20" style="1" bestFit="1" customWidth="1"/>
    <col min="10" max="10" width="22.28515625" style="2" bestFit="1" customWidth="1"/>
  </cols>
  <sheetData>
    <row r="1" spans="1:10" x14ac:dyDescent="0.25">
      <c r="A1" t="s">
        <v>0</v>
      </c>
      <c r="B1" s="3" t="s">
        <v>1</v>
      </c>
      <c r="C1" t="s">
        <v>2</v>
      </c>
      <c r="D1" t="s">
        <v>3</v>
      </c>
      <c r="E1" t="s">
        <v>22</v>
      </c>
      <c r="F1" t="s">
        <v>4</v>
      </c>
      <c r="G1" t="s">
        <v>5</v>
      </c>
      <c r="H1" t="s">
        <v>14</v>
      </c>
      <c r="I1" s="1" t="s">
        <v>15</v>
      </c>
      <c r="J1" s="2" t="s">
        <v>16</v>
      </c>
    </row>
    <row r="2" spans="1:10" x14ac:dyDescent="0.25">
      <c r="A2" t="s">
        <v>6</v>
      </c>
      <c r="B2" s="3">
        <v>46204</v>
      </c>
      <c r="C2" t="s">
        <v>7</v>
      </c>
      <c r="D2">
        <v>102</v>
      </c>
      <c r="E2">
        <v>3060</v>
      </c>
      <c r="F2">
        <v>4639</v>
      </c>
      <c r="G2">
        <v>3060</v>
      </c>
      <c r="H2" t="str">
        <f>IF(CleanSalesData[[#This Row],[Corrected Revenue]]&gt;CleanSalesData[[#This Row],[Target]], "Good Profit", "Low Profit"  )</f>
        <v>Low Profit</v>
      </c>
      <c r="I2" s="1">
        <f>(CleanSalesData[[#This Row],[Corrected Revenue]]/CleanSalesData[[#This Row],[Target]])</f>
        <v>0.65962491916361288</v>
      </c>
      <c r="J2" s="2">
        <f>IF(CleanSalesData[[#This Row],[Units_Sold]]=0,0,CleanSalesData[[#This Row],[Corrected Revenue]]/CleanSalesData[[#This Row],[Units_Sold]])</f>
        <v>30</v>
      </c>
    </row>
    <row r="3" spans="1:10" x14ac:dyDescent="0.25">
      <c r="A3" t="s">
        <v>6</v>
      </c>
      <c r="B3" s="3">
        <v>46204</v>
      </c>
      <c r="C3" t="s">
        <v>8</v>
      </c>
      <c r="D3">
        <v>132</v>
      </c>
      <c r="E3">
        <v>3960</v>
      </c>
      <c r="F3">
        <v>5670</v>
      </c>
      <c r="G3">
        <v>3960</v>
      </c>
      <c r="H3" t="str">
        <f>IF(CleanSalesData[[#This Row],[Corrected Revenue]]&gt;CleanSalesData[[#This Row],[Target]], "Good Profit", "Low Profit"  )</f>
        <v>Low Profit</v>
      </c>
      <c r="I3" s="1">
        <f>(CleanSalesData[[#This Row],[Corrected Revenue]]/CleanSalesData[[#This Row],[Target]])</f>
        <v>0.69841269841269837</v>
      </c>
      <c r="J3" s="2">
        <f>IF(CleanSalesData[[#This Row],[Units_Sold]]=0,0,CleanSalesData[[#This Row],[Corrected Revenue]]/CleanSalesData[[#This Row],[Units_Sold]])</f>
        <v>30</v>
      </c>
    </row>
    <row r="4" spans="1:10" x14ac:dyDescent="0.25">
      <c r="A4" t="s">
        <v>6</v>
      </c>
      <c r="B4" s="3">
        <v>46204</v>
      </c>
      <c r="C4" t="s">
        <v>9</v>
      </c>
      <c r="D4">
        <v>163</v>
      </c>
      <c r="E4">
        <v>4890</v>
      </c>
      <c r="F4">
        <v>4639</v>
      </c>
      <c r="G4">
        <v>4890</v>
      </c>
      <c r="H4" t="str">
        <f>IF(CleanSalesData[[#This Row],[Corrected Revenue]]&gt;CleanSalesData[[#This Row],[Target]], "Good Profit", "Low Profit"  )</f>
        <v>Good Profit</v>
      </c>
      <c r="I4" s="1">
        <f>(CleanSalesData[[#This Row],[Corrected Revenue]]/CleanSalesData[[#This Row],[Target]])</f>
        <v>1.0541064884673421</v>
      </c>
      <c r="J4" s="2">
        <f>IF(CleanSalesData[[#This Row],[Units_Sold]]=0,0,CleanSalesData[[#This Row],[Corrected Revenue]]/CleanSalesData[[#This Row],[Units_Sold]])</f>
        <v>30</v>
      </c>
    </row>
    <row r="5" spans="1:10" x14ac:dyDescent="0.25">
      <c r="A5" t="s">
        <v>6</v>
      </c>
      <c r="B5" s="3">
        <v>46204</v>
      </c>
      <c r="C5" t="s">
        <v>10</v>
      </c>
      <c r="D5">
        <v>118</v>
      </c>
      <c r="E5">
        <v>3540</v>
      </c>
      <c r="F5">
        <v>2938</v>
      </c>
      <c r="G5">
        <v>3540</v>
      </c>
      <c r="H5" t="str">
        <f>IF(CleanSalesData[[#This Row],[Corrected Revenue]]&gt;CleanSalesData[[#This Row],[Target]], "Good Profit", "Low Profit"  )</f>
        <v>Good Profit</v>
      </c>
      <c r="I5" s="1">
        <f>(CleanSalesData[[#This Row],[Corrected Revenue]]/CleanSalesData[[#This Row],[Target]])</f>
        <v>1.2049012933968686</v>
      </c>
      <c r="J5" s="2">
        <f>IF(CleanSalesData[[#This Row],[Units_Sold]]=0,0,CleanSalesData[[#This Row],[Corrected Revenue]]/CleanSalesData[[#This Row],[Units_Sold]])</f>
        <v>30</v>
      </c>
    </row>
    <row r="6" spans="1:10" x14ac:dyDescent="0.25">
      <c r="A6" t="s">
        <v>6</v>
      </c>
      <c r="B6" s="3">
        <v>46205</v>
      </c>
      <c r="C6" t="s">
        <v>7</v>
      </c>
      <c r="D6">
        <v>122</v>
      </c>
      <c r="E6">
        <v>3660</v>
      </c>
      <c r="F6">
        <v>4651</v>
      </c>
      <c r="G6">
        <v>3660</v>
      </c>
      <c r="H6" t="str">
        <f>IF(CleanSalesData[[#This Row],[Corrected Revenue]]&gt;CleanSalesData[[#This Row],[Target]], "Good Profit", "Low Profit"  )</f>
        <v>Low Profit</v>
      </c>
      <c r="I6" s="1">
        <f>(CleanSalesData[[#This Row],[Corrected Revenue]]/CleanSalesData[[#This Row],[Target]])</f>
        <v>0.78692754246398622</v>
      </c>
      <c r="J6" s="2">
        <f>IF(CleanSalesData[[#This Row],[Units_Sold]]=0,0,CleanSalesData[[#This Row],[Corrected Revenue]]/CleanSalesData[[#This Row],[Units_Sold]])</f>
        <v>30</v>
      </c>
    </row>
    <row r="7" spans="1:10" x14ac:dyDescent="0.25">
      <c r="A7" t="s">
        <v>6</v>
      </c>
      <c r="B7" s="3">
        <v>46205</v>
      </c>
      <c r="C7" t="s">
        <v>8</v>
      </c>
      <c r="D7">
        <v>160</v>
      </c>
      <c r="E7">
        <v>4800</v>
      </c>
      <c r="F7">
        <v>4712</v>
      </c>
      <c r="G7">
        <v>4800</v>
      </c>
      <c r="H7" t="str">
        <f>IF(CleanSalesData[[#This Row],[Corrected Revenue]]&gt;CleanSalesData[[#This Row],[Target]], "Good Profit", "Low Profit"  )</f>
        <v>Good Profit</v>
      </c>
      <c r="I7" s="1">
        <f>(CleanSalesData[[#This Row],[Corrected Revenue]]/CleanSalesData[[#This Row],[Target]])</f>
        <v>1.0186757215619695</v>
      </c>
      <c r="J7" s="2">
        <f>IF(CleanSalesData[[#This Row],[Units_Sold]]=0,0,CleanSalesData[[#This Row],[Corrected Revenue]]/CleanSalesData[[#This Row],[Units_Sold]])</f>
        <v>30</v>
      </c>
    </row>
    <row r="8" spans="1:10" x14ac:dyDescent="0.25">
      <c r="A8" t="s">
        <v>6</v>
      </c>
      <c r="B8" s="3">
        <v>46205</v>
      </c>
      <c r="C8" t="s">
        <v>9</v>
      </c>
      <c r="D8">
        <v>73</v>
      </c>
      <c r="E8">
        <v>2190</v>
      </c>
      <c r="F8">
        <v>4390</v>
      </c>
      <c r="G8">
        <v>2190</v>
      </c>
      <c r="H8" t="str">
        <f>IF(CleanSalesData[[#This Row],[Corrected Revenue]]&gt;CleanSalesData[[#This Row],[Target]], "Good Profit", "Low Profit"  )</f>
        <v>Low Profit</v>
      </c>
      <c r="I8" s="1">
        <f>(CleanSalesData[[#This Row],[Corrected Revenue]]/CleanSalesData[[#This Row],[Target]])</f>
        <v>0.49886104783599089</v>
      </c>
      <c r="J8" s="2">
        <f>IF(CleanSalesData[[#This Row],[Units_Sold]]=0,0,CleanSalesData[[#This Row],[Corrected Revenue]]/CleanSalesData[[#This Row],[Units_Sold]])</f>
        <v>30</v>
      </c>
    </row>
    <row r="9" spans="1:10" x14ac:dyDescent="0.25">
      <c r="A9" t="s">
        <v>6</v>
      </c>
      <c r="B9" s="3">
        <v>46205</v>
      </c>
      <c r="C9" t="s">
        <v>10</v>
      </c>
      <c r="D9">
        <v>129</v>
      </c>
      <c r="E9">
        <v>3870</v>
      </c>
      <c r="F9">
        <v>3938</v>
      </c>
      <c r="G9">
        <v>3870</v>
      </c>
      <c r="H9" t="str">
        <f>IF(CleanSalesData[[#This Row],[Corrected Revenue]]&gt;CleanSalesData[[#This Row],[Target]], "Good Profit", "Low Profit"  )</f>
        <v>Low Profit</v>
      </c>
      <c r="I9" s="1">
        <f>(CleanSalesData[[#This Row],[Corrected Revenue]]/CleanSalesData[[#This Row],[Target]])</f>
        <v>0.9827323514474352</v>
      </c>
      <c r="J9" s="2">
        <f>IF(CleanSalesData[[#This Row],[Units_Sold]]=0,0,CleanSalesData[[#This Row],[Corrected Revenue]]/CleanSalesData[[#This Row],[Units_Sold]])</f>
        <v>30</v>
      </c>
    </row>
    <row r="10" spans="1:10" x14ac:dyDescent="0.25">
      <c r="A10" t="s">
        <v>6</v>
      </c>
      <c r="B10" s="3">
        <v>46206</v>
      </c>
      <c r="C10" t="s">
        <v>7</v>
      </c>
      <c r="D10">
        <v>77</v>
      </c>
      <c r="E10">
        <v>2310</v>
      </c>
      <c r="F10">
        <v>2787</v>
      </c>
      <c r="G10">
        <v>2310</v>
      </c>
      <c r="H10" t="str">
        <f>IF(CleanSalesData[[#This Row],[Corrected Revenue]]&gt;CleanSalesData[[#This Row],[Target]], "Good Profit", "Low Profit"  )</f>
        <v>Low Profit</v>
      </c>
      <c r="I10" s="1">
        <f>(CleanSalesData[[#This Row],[Corrected Revenue]]/CleanSalesData[[#This Row],[Target]])</f>
        <v>0.82884822389666313</v>
      </c>
      <c r="J10" s="2">
        <f>IF(CleanSalesData[[#This Row],[Units_Sold]]=0,0,CleanSalesData[[#This Row],[Corrected Revenue]]/CleanSalesData[[#This Row],[Units_Sold]])</f>
        <v>30</v>
      </c>
    </row>
    <row r="11" spans="1:10" x14ac:dyDescent="0.25">
      <c r="A11" t="s">
        <v>6</v>
      </c>
      <c r="B11" s="3">
        <v>46206</v>
      </c>
      <c r="C11" t="s">
        <v>8</v>
      </c>
      <c r="D11">
        <v>154</v>
      </c>
      <c r="E11">
        <v>4620</v>
      </c>
      <c r="F11">
        <v>3834</v>
      </c>
      <c r="G11">
        <v>4620</v>
      </c>
      <c r="H11" t="str">
        <f>IF(CleanSalesData[[#This Row],[Corrected Revenue]]&gt;CleanSalesData[[#This Row],[Target]], "Good Profit", "Low Profit"  )</f>
        <v>Good Profit</v>
      </c>
      <c r="I11" s="1">
        <f>(CleanSalesData[[#This Row],[Corrected Revenue]]/CleanSalesData[[#This Row],[Target]])</f>
        <v>1.2050078247261347</v>
      </c>
      <c r="J11" s="2">
        <f>IF(CleanSalesData[[#This Row],[Units_Sold]]=0,0,CleanSalesData[[#This Row],[Corrected Revenue]]/CleanSalesData[[#This Row],[Units_Sold]])</f>
        <v>30</v>
      </c>
    </row>
    <row r="12" spans="1:10" x14ac:dyDescent="0.25">
      <c r="A12" t="s">
        <v>6</v>
      </c>
      <c r="B12" s="3">
        <v>46206</v>
      </c>
      <c r="C12" t="s">
        <v>9</v>
      </c>
      <c r="D12">
        <v>198</v>
      </c>
      <c r="E12">
        <v>5940</v>
      </c>
      <c r="F12">
        <v>2799</v>
      </c>
      <c r="G12">
        <v>5940</v>
      </c>
      <c r="H12" t="str">
        <f>IF(CleanSalesData[[#This Row],[Corrected Revenue]]&gt;CleanSalesData[[#This Row],[Target]], "Good Profit", "Low Profit"  )</f>
        <v>Good Profit</v>
      </c>
      <c r="I12" s="1">
        <f>(CleanSalesData[[#This Row],[Corrected Revenue]]/CleanSalesData[[#This Row],[Target]])</f>
        <v>2.122186495176849</v>
      </c>
      <c r="J12" s="2">
        <f>IF(CleanSalesData[[#This Row],[Units_Sold]]=0,0,CleanSalesData[[#This Row],[Corrected Revenue]]/CleanSalesData[[#This Row],[Units_Sold]])</f>
        <v>30</v>
      </c>
    </row>
    <row r="13" spans="1:10" x14ac:dyDescent="0.25">
      <c r="A13" t="s">
        <v>6</v>
      </c>
      <c r="B13" s="3">
        <v>46206</v>
      </c>
      <c r="C13" t="s">
        <v>10</v>
      </c>
      <c r="D13">
        <v>73</v>
      </c>
      <c r="E13">
        <v>2190</v>
      </c>
      <c r="F13">
        <v>2766</v>
      </c>
      <c r="G13">
        <v>2190</v>
      </c>
      <c r="H13" t="str">
        <f>IF(CleanSalesData[[#This Row],[Corrected Revenue]]&gt;CleanSalesData[[#This Row],[Target]], "Good Profit", "Low Profit"  )</f>
        <v>Low Profit</v>
      </c>
      <c r="I13" s="1">
        <f>(CleanSalesData[[#This Row],[Corrected Revenue]]/CleanSalesData[[#This Row],[Target]])</f>
        <v>0.79175704989154017</v>
      </c>
      <c r="J13" s="2">
        <f>IF(CleanSalesData[[#This Row],[Units_Sold]]=0,0,CleanSalesData[[#This Row],[Corrected Revenue]]/CleanSalesData[[#This Row],[Units_Sold]])</f>
        <v>30</v>
      </c>
    </row>
    <row r="14" spans="1:10" x14ac:dyDescent="0.25">
      <c r="A14" t="s">
        <v>6</v>
      </c>
      <c r="B14" s="3">
        <v>46207</v>
      </c>
      <c r="C14" t="s">
        <v>7</v>
      </c>
      <c r="D14">
        <v>100</v>
      </c>
      <c r="E14">
        <v>3000</v>
      </c>
      <c r="F14">
        <v>2820</v>
      </c>
      <c r="G14">
        <v>3000</v>
      </c>
      <c r="H14" t="str">
        <f>IF(CleanSalesData[[#This Row],[Corrected Revenue]]&gt;CleanSalesData[[#This Row],[Target]], "Good Profit", "Low Profit"  )</f>
        <v>Good Profit</v>
      </c>
      <c r="I14" s="1">
        <f>(CleanSalesData[[#This Row],[Corrected Revenue]]/CleanSalesData[[#This Row],[Target]])</f>
        <v>1.0638297872340425</v>
      </c>
      <c r="J14" s="2">
        <f>IF(CleanSalesData[[#This Row],[Units_Sold]]=0,0,CleanSalesData[[#This Row],[Corrected Revenue]]/CleanSalesData[[#This Row],[Units_Sold]])</f>
        <v>30</v>
      </c>
    </row>
    <row r="15" spans="1:10" x14ac:dyDescent="0.25">
      <c r="A15" t="s">
        <v>6</v>
      </c>
      <c r="B15" s="3">
        <v>46207</v>
      </c>
      <c r="C15" t="s">
        <v>8</v>
      </c>
      <c r="D15">
        <v>105</v>
      </c>
      <c r="E15">
        <v>3150</v>
      </c>
      <c r="F15">
        <v>4288</v>
      </c>
      <c r="G15">
        <v>3150</v>
      </c>
      <c r="H15" t="str">
        <f>IF(CleanSalesData[[#This Row],[Corrected Revenue]]&gt;CleanSalesData[[#This Row],[Target]], "Good Profit", "Low Profit"  )</f>
        <v>Low Profit</v>
      </c>
      <c r="I15" s="1">
        <f>(CleanSalesData[[#This Row],[Corrected Revenue]]/CleanSalesData[[#This Row],[Target]])</f>
        <v>0.73460820895522383</v>
      </c>
      <c r="J15" s="2">
        <f>IF(CleanSalesData[[#This Row],[Units_Sold]]=0,0,CleanSalesData[[#This Row],[Corrected Revenue]]/CleanSalesData[[#This Row],[Units_Sold]])</f>
        <v>30</v>
      </c>
    </row>
    <row r="16" spans="1:10" x14ac:dyDescent="0.25">
      <c r="A16" t="s">
        <v>6</v>
      </c>
      <c r="B16" s="3">
        <v>46207</v>
      </c>
      <c r="C16" t="s">
        <v>9</v>
      </c>
      <c r="D16">
        <v>131</v>
      </c>
      <c r="E16">
        <v>3930</v>
      </c>
      <c r="F16">
        <v>3188</v>
      </c>
      <c r="G16">
        <v>3930</v>
      </c>
      <c r="H16" t="str">
        <f>IF(CleanSalesData[[#This Row],[Corrected Revenue]]&gt;CleanSalesData[[#This Row],[Target]], "Good Profit", "Low Profit"  )</f>
        <v>Good Profit</v>
      </c>
      <c r="I16" s="1">
        <f>(CleanSalesData[[#This Row],[Corrected Revenue]]/CleanSalesData[[#This Row],[Target]])</f>
        <v>1.2327478042659974</v>
      </c>
      <c r="J16" s="2">
        <f>IF(CleanSalesData[[#This Row],[Units_Sold]]=0,0,CleanSalesData[[#This Row],[Corrected Revenue]]/CleanSalesData[[#This Row],[Units_Sold]])</f>
        <v>30</v>
      </c>
    </row>
    <row r="17" spans="1:10" x14ac:dyDescent="0.25">
      <c r="A17" t="s">
        <v>6</v>
      </c>
      <c r="B17" s="3">
        <v>46207</v>
      </c>
      <c r="C17" t="s">
        <v>10</v>
      </c>
      <c r="D17">
        <v>170</v>
      </c>
      <c r="E17">
        <v>5100</v>
      </c>
      <c r="F17">
        <v>2799</v>
      </c>
      <c r="G17">
        <v>5100</v>
      </c>
      <c r="H17" t="str">
        <f>IF(CleanSalesData[[#This Row],[Corrected Revenue]]&gt;CleanSalesData[[#This Row],[Target]], "Good Profit", "Low Profit"  )</f>
        <v>Good Profit</v>
      </c>
      <c r="I17" s="1">
        <f>(CleanSalesData[[#This Row],[Corrected Revenue]]/CleanSalesData[[#This Row],[Target]])</f>
        <v>1.8220793140407288</v>
      </c>
      <c r="J17" s="2">
        <f>IF(CleanSalesData[[#This Row],[Units_Sold]]=0,0,CleanSalesData[[#This Row],[Corrected Revenue]]/CleanSalesData[[#This Row],[Units_Sold]])</f>
        <v>30</v>
      </c>
    </row>
    <row r="18" spans="1:10" x14ac:dyDescent="0.25">
      <c r="A18" t="s">
        <v>6</v>
      </c>
      <c r="B18" s="3">
        <v>46208</v>
      </c>
      <c r="C18" t="s">
        <v>7</v>
      </c>
      <c r="D18">
        <v>154</v>
      </c>
      <c r="E18">
        <v>4620</v>
      </c>
      <c r="F18">
        <v>2595</v>
      </c>
      <c r="G18">
        <v>4620</v>
      </c>
      <c r="H18" t="str">
        <f>IF(CleanSalesData[[#This Row],[Corrected Revenue]]&gt;CleanSalesData[[#This Row],[Target]], "Good Profit", "Low Profit"  )</f>
        <v>Good Profit</v>
      </c>
      <c r="I18" s="1">
        <f>(CleanSalesData[[#This Row],[Corrected Revenue]]/CleanSalesData[[#This Row],[Target]])</f>
        <v>1.7803468208092486</v>
      </c>
      <c r="J18" s="2">
        <f>IF(CleanSalesData[[#This Row],[Units_Sold]]=0,0,CleanSalesData[[#This Row],[Corrected Revenue]]/CleanSalesData[[#This Row],[Units_Sold]])</f>
        <v>30</v>
      </c>
    </row>
    <row r="19" spans="1:10" x14ac:dyDescent="0.25">
      <c r="A19" t="s">
        <v>6</v>
      </c>
      <c r="B19" s="3">
        <v>46208</v>
      </c>
      <c r="C19" t="s">
        <v>8</v>
      </c>
      <c r="D19">
        <v>88</v>
      </c>
      <c r="E19">
        <v>2640</v>
      </c>
      <c r="F19">
        <v>4243</v>
      </c>
      <c r="G19">
        <v>2640</v>
      </c>
      <c r="H19" t="str">
        <f>IF(CleanSalesData[[#This Row],[Corrected Revenue]]&gt;CleanSalesData[[#This Row],[Target]], "Good Profit", "Low Profit"  )</f>
        <v>Low Profit</v>
      </c>
      <c r="I19" s="1">
        <f>(CleanSalesData[[#This Row],[Corrected Revenue]]/CleanSalesData[[#This Row],[Target]])</f>
        <v>0.62220127268442138</v>
      </c>
      <c r="J19" s="2">
        <f>IF(CleanSalesData[[#This Row],[Units_Sold]]=0,0,CleanSalesData[[#This Row],[Corrected Revenue]]/CleanSalesData[[#This Row],[Units_Sold]])</f>
        <v>30</v>
      </c>
    </row>
    <row r="20" spans="1:10" x14ac:dyDescent="0.25">
      <c r="A20" t="s">
        <v>6</v>
      </c>
      <c r="B20" s="3">
        <v>46208</v>
      </c>
      <c r="C20" t="s">
        <v>9</v>
      </c>
      <c r="D20">
        <v>187</v>
      </c>
      <c r="E20">
        <v>5610</v>
      </c>
      <c r="F20">
        <v>4739</v>
      </c>
      <c r="G20">
        <v>5610</v>
      </c>
      <c r="H20" t="str">
        <f>IF(CleanSalesData[[#This Row],[Corrected Revenue]]&gt;CleanSalesData[[#This Row],[Target]], "Good Profit", "Low Profit"  )</f>
        <v>Good Profit</v>
      </c>
      <c r="I20" s="1">
        <f>(CleanSalesData[[#This Row],[Corrected Revenue]]/CleanSalesData[[#This Row],[Target]])</f>
        <v>1.1837940493775059</v>
      </c>
      <c r="J20" s="2">
        <f>IF(CleanSalesData[[#This Row],[Units_Sold]]=0,0,CleanSalesData[[#This Row],[Corrected Revenue]]/CleanSalesData[[#This Row],[Units_Sold]])</f>
        <v>30</v>
      </c>
    </row>
    <row r="21" spans="1:10" x14ac:dyDescent="0.25">
      <c r="A21" t="s">
        <v>6</v>
      </c>
      <c r="B21" s="3">
        <v>46208</v>
      </c>
      <c r="C21" t="s">
        <v>10</v>
      </c>
      <c r="D21">
        <v>110</v>
      </c>
      <c r="E21">
        <v>3300</v>
      </c>
      <c r="F21">
        <v>5394</v>
      </c>
      <c r="G21">
        <v>3300</v>
      </c>
      <c r="H21" t="str">
        <f>IF(CleanSalesData[[#This Row],[Corrected Revenue]]&gt;CleanSalesData[[#This Row],[Target]], "Good Profit", "Low Profit"  )</f>
        <v>Low Profit</v>
      </c>
      <c r="I21" s="1">
        <f>(CleanSalesData[[#This Row],[Corrected Revenue]]/CleanSalesData[[#This Row],[Target]])</f>
        <v>0.61179087875417126</v>
      </c>
      <c r="J21" s="2">
        <f>IF(CleanSalesData[[#This Row],[Units_Sold]]=0,0,CleanSalesData[[#This Row],[Corrected Revenue]]/CleanSalesData[[#This Row],[Units_Sold]])</f>
        <v>30</v>
      </c>
    </row>
    <row r="22" spans="1:10" x14ac:dyDescent="0.25">
      <c r="A22" t="s">
        <v>6</v>
      </c>
      <c r="B22" s="3">
        <v>46209</v>
      </c>
      <c r="C22" t="s">
        <v>7</v>
      </c>
      <c r="D22">
        <v>73</v>
      </c>
      <c r="E22">
        <v>2190</v>
      </c>
      <c r="F22">
        <v>3936</v>
      </c>
      <c r="G22">
        <v>2190</v>
      </c>
      <c r="H22" t="str">
        <f>IF(CleanSalesData[[#This Row],[Corrected Revenue]]&gt;CleanSalesData[[#This Row],[Target]], "Good Profit", "Low Profit"  )</f>
        <v>Low Profit</v>
      </c>
      <c r="I22" s="1">
        <f>(CleanSalesData[[#This Row],[Corrected Revenue]]/CleanSalesData[[#This Row],[Target]])</f>
        <v>0.55640243902439024</v>
      </c>
      <c r="J22" s="2">
        <f>IF(CleanSalesData[[#This Row],[Units_Sold]]=0,0,CleanSalesData[[#This Row],[Corrected Revenue]]/CleanSalesData[[#This Row],[Units_Sold]])</f>
        <v>30</v>
      </c>
    </row>
    <row r="23" spans="1:10" x14ac:dyDescent="0.25">
      <c r="A23" t="s">
        <v>6</v>
      </c>
      <c r="B23" s="3">
        <v>46209</v>
      </c>
      <c r="C23" t="s">
        <v>8</v>
      </c>
      <c r="D23">
        <v>83</v>
      </c>
      <c r="E23">
        <v>2490</v>
      </c>
      <c r="F23">
        <v>4643</v>
      </c>
      <c r="G23">
        <v>2490</v>
      </c>
      <c r="H23" t="str">
        <f>IF(CleanSalesData[[#This Row],[Corrected Revenue]]&gt;CleanSalesData[[#This Row],[Target]], "Good Profit", "Low Profit"  )</f>
        <v>Low Profit</v>
      </c>
      <c r="I23" s="1">
        <f>(CleanSalesData[[#This Row],[Corrected Revenue]]/CleanSalesData[[#This Row],[Target]])</f>
        <v>0.53629119104027567</v>
      </c>
      <c r="J23" s="2">
        <f>IF(CleanSalesData[[#This Row],[Units_Sold]]=0,0,CleanSalesData[[#This Row],[Corrected Revenue]]/CleanSalesData[[#This Row],[Units_Sold]])</f>
        <v>30</v>
      </c>
    </row>
    <row r="24" spans="1:10" x14ac:dyDescent="0.25">
      <c r="A24" t="s">
        <v>6</v>
      </c>
      <c r="B24" s="3">
        <v>46209</v>
      </c>
      <c r="C24" t="s">
        <v>9</v>
      </c>
      <c r="D24">
        <v>199</v>
      </c>
      <c r="E24">
        <v>5970</v>
      </c>
      <c r="F24">
        <v>3418</v>
      </c>
      <c r="G24">
        <v>5970</v>
      </c>
      <c r="H24" t="str">
        <f>IF(CleanSalesData[[#This Row],[Corrected Revenue]]&gt;CleanSalesData[[#This Row],[Target]], "Good Profit", "Low Profit"  )</f>
        <v>Good Profit</v>
      </c>
      <c r="I24" s="1">
        <f>(CleanSalesData[[#This Row],[Corrected Revenue]]/CleanSalesData[[#This Row],[Target]])</f>
        <v>1.7466354593329432</v>
      </c>
      <c r="J24" s="2">
        <f>IF(CleanSalesData[[#This Row],[Units_Sold]]=0,0,CleanSalesData[[#This Row],[Corrected Revenue]]/CleanSalesData[[#This Row],[Units_Sold]])</f>
        <v>30</v>
      </c>
    </row>
    <row r="25" spans="1:10" x14ac:dyDescent="0.25">
      <c r="A25" t="s">
        <v>6</v>
      </c>
      <c r="B25" s="3">
        <v>46209</v>
      </c>
      <c r="C25" t="s">
        <v>10</v>
      </c>
      <c r="D25">
        <v>142</v>
      </c>
      <c r="E25">
        <v>4260</v>
      </c>
      <c r="F25">
        <v>3012</v>
      </c>
      <c r="G25">
        <v>4260</v>
      </c>
      <c r="H25" t="str">
        <f>IF(CleanSalesData[[#This Row],[Corrected Revenue]]&gt;CleanSalesData[[#This Row],[Target]], "Good Profit", "Low Profit"  )</f>
        <v>Good Profit</v>
      </c>
      <c r="I25" s="1">
        <f>(CleanSalesData[[#This Row],[Corrected Revenue]]/CleanSalesData[[#This Row],[Target]])</f>
        <v>1.4143426294820718</v>
      </c>
      <c r="J25" s="2">
        <f>IF(CleanSalesData[[#This Row],[Units_Sold]]=0,0,CleanSalesData[[#This Row],[Corrected Revenue]]/CleanSalesData[[#This Row],[Units_Sold]])</f>
        <v>30</v>
      </c>
    </row>
    <row r="26" spans="1:10" x14ac:dyDescent="0.25">
      <c r="A26" t="s">
        <v>6</v>
      </c>
      <c r="B26" s="3">
        <v>46210</v>
      </c>
      <c r="C26" t="s">
        <v>7</v>
      </c>
      <c r="D26">
        <v>109</v>
      </c>
      <c r="E26">
        <v>3270</v>
      </c>
      <c r="F26">
        <v>2753</v>
      </c>
      <c r="G26">
        <v>3270</v>
      </c>
      <c r="H26" t="str">
        <f>IF(CleanSalesData[[#This Row],[Corrected Revenue]]&gt;CleanSalesData[[#This Row],[Target]], "Good Profit", "Low Profit"  )</f>
        <v>Good Profit</v>
      </c>
      <c r="I26" s="1">
        <f>(CleanSalesData[[#This Row],[Corrected Revenue]]/CleanSalesData[[#This Row],[Target]])</f>
        <v>1.187795132582637</v>
      </c>
      <c r="J26" s="2">
        <f>IF(CleanSalesData[[#This Row],[Units_Sold]]=0,0,CleanSalesData[[#This Row],[Corrected Revenue]]/CleanSalesData[[#This Row],[Units_Sold]])</f>
        <v>30</v>
      </c>
    </row>
    <row r="27" spans="1:10" x14ac:dyDescent="0.25">
      <c r="A27" t="s">
        <v>6</v>
      </c>
      <c r="B27" s="3">
        <v>46210</v>
      </c>
      <c r="C27" t="s">
        <v>8</v>
      </c>
      <c r="D27">
        <v>123</v>
      </c>
      <c r="E27">
        <v>3690</v>
      </c>
      <c r="F27">
        <v>4038</v>
      </c>
      <c r="G27">
        <v>3690</v>
      </c>
      <c r="H27" t="str">
        <f>IF(CleanSalesData[[#This Row],[Corrected Revenue]]&gt;CleanSalesData[[#This Row],[Target]], "Good Profit", "Low Profit"  )</f>
        <v>Low Profit</v>
      </c>
      <c r="I27" s="1">
        <f>(CleanSalesData[[#This Row],[Corrected Revenue]]/CleanSalesData[[#This Row],[Target]])</f>
        <v>0.91381872213967308</v>
      </c>
      <c r="J27" s="2">
        <f>IF(CleanSalesData[[#This Row],[Units_Sold]]=0,0,CleanSalesData[[#This Row],[Corrected Revenue]]/CleanSalesData[[#This Row],[Units_Sold]])</f>
        <v>30</v>
      </c>
    </row>
    <row r="28" spans="1:10" x14ac:dyDescent="0.25">
      <c r="A28" t="s">
        <v>6</v>
      </c>
      <c r="B28" s="3">
        <v>46210</v>
      </c>
      <c r="C28" t="s">
        <v>9</v>
      </c>
      <c r="D28">
        <v>181</v>
      </c>
      <c r="E28">
        <v>5430</v>
      </c>
      <c r="F28">
        <v>5211</v>
      </c>
      <c r="G28">
        <v>5430</v>
      </c>
      <c r="H28" t="str">
        <f>IF(CleanSalesData[[#This Row],[Corrected Revenue]]&gt;CleanSalesData[[#This Row],[Target]], "Good Profit", "Low Profit"  )</f>
        <v>Good Profit</v>
      </c>
      <c r="I28" s="1">
        <f>(CleanSalesData[[#This Row],[Corrected Revenue]]/CleanSalesData[[#This Row],[Target]])</f>
        <v>1.0420264824409902</v>
      </c>
      <c r="J28" s="2">
        <f>IF(CleanSalesData[[#This Row],[Units_Sold]]=0,0,CleanSalesData[[#This Row],[Corrected Revenue]]/CleanSalesData[[#This Row],[Units_Sold]])</f>
        <v>30</v>
      </c>
    </row>
    <row r="29" spans="1:10" x14ac:dyDescent="0.25">
      <c r="A29" t="s">
        <v>6</v>
      </c>
      <c r="B29" s="3">
        <v>46210</v>
      </c>
      <c r="C29" t="s">
        <v>10</v>
      </c>
      <c r="D29">
        <v>165</v>
      </c>
      <c r="E29">
        <v>4950</v>
      </c>
      <c r="F29">
        <v>2640</v>
      </c>
      <c r="G29">
        <v>4950</v>
      </c>
      <c r="H29" t="str">
        <f>IF(CleanSalesData[[#This Row],[Corrected Revenue]]&gt;CleanSalesData[[#This Row],[Target]], "Good Profit", "Low Profit"  )</f>
        <v>Good Profit</v>
      </c>
      <c r="I29" s="1">
        <f>(CleanSalesData[[#This Row],[Corrected Revenue]]/CleanSalesData[[#This Row],[Target]])</f>
        <v>1.875</v>
      </c>
      <c r="J29" s="2">
        <f>IF(CleanSalesData[[#This Row],[Units_Sold]]=0,0,CleanSalesData[[#This Row],[Corrected Revenue]]/CleanSalesData[[#This Row],[Units_Sold]])</f>
        <v>30</v>
      </c>
    </row>
    <row r="30" spans="1:10" x14ac:dyDescent="0.25">
      <c r="A30" t="s">
        <v>6</v>
      </c>
      <c r="B30" s="3">
        <v>46211</v>
      </c>
      <c r="C30" t="s">
        <v>7</v>
      </c>
      <c r="D30">
        <v>110</v>
      </c>
      <c r="E30">
        <v>3300</v>
      </c>
      <c r="F30">
        <v>2732</v>
      </c>
      <c r="G30">
        <v>3300</v>
      </c>
      <c r="H30" t="str">
        <f>IF(CleanSalesData[[#This Row],[Corrected Revenue]]&gt;CleanSalesData[[#This Row],[Target]], "Good Profit", "Low Profit"  )</f>
        <v>Good Profit</v>
      </c>
      <c r="I30" s="1">
        <f>(CleanSalesData[[#This Row],[Corrected Revenue]]/CleanSalesData[[#This Row],[Target]])</f>
        <v>1.2079062957540263</v>
      </c>
      <c r="J30" s="2">
        <f>IF(CleanSalesData[[#This Row],[Units_Sold]]=0,0,CleanSalesData[[#This Row],[Corrected Revenue]]/CleanSalesData[[#This Row],[Units_Sold]])</f>
        <v>30</v>
      </c>
    </row>
    <row r="31" spans="1:10" x14ac:dyDescent="0.25">
      <c r="A31" t="s">
        <v>6</v>
      </c>
      <c r="B31" s="3">
        <v>46211</v>
      </c>
      <c r="C31" t="s">
        <v>8</v>
      </c>
      <c r="D31">
        <v>119</v>
      </c>
      <c r="E31">
        <v>3570</v>
      </c>
      <c r="F31">
        <v>2857</v>
      </c>
      <c r="G31">
        <v>3570</v>
      </c>
      <c r="H31" t="str">
        <f>IF(CleanSalesData[[#This Row],[Corrected Revenue]]&gt;CleanSalesData[[#This Row],[Target]], "Good Profit", "Low Profit"  )</f>
        <v>Good Profit</v>
      </c>
      <c r="I31" s="1">
        <f>(CleanSalesData[[#This Row],[Corrected Revenue]]/CleanSalesData[[#This Row],[Target]])</f>
        <v>1.2495624781239063</v>
      </c>
      <c r="J31" s="2">
        <f>IF(CleanSalesData[[#This Row],[Units_Sold]]=0,0,CleanSalesData[[#This Row],[Corrected Revenue]]/CleanSalesData[[#This Row],[Units_Sold]])</f>
        <v>30</v>
      </c>
    </row>
    <row r="32" spans="1:10" x14ac:dyDescent="0.25">
      <c r="A32" t="s">
        <v>6</v>
      </c>
      <c r="B32" s="3">
        <v>46211</v>
      </c>
      <c r="C32" t="s">
        <v>9</v>
      </c>
      <c r="D32">
        <v>148</v>
      </c>
      <c r="E32">
        <v>4440</v>
      </c>
      <c r="F32">
        <v>3819</v>
      </c>
      <c r="G32">
        <v>4440</v>
      </c>
      <c r="H32" t="str">
        <f>IF(CleanSalesData[[#This Row],[Corrected Revenue]]&gt;CleanSalesData[[#This Row],[Target]], "Good Profit", "Low Profit"  )</f>
        <v>Good Profit</v>
      </c>
      <c r="I32" s="1">
        <f>(CleanSalesData[[#This Row],[Corrected Revenue]]/CleanSalesData[[#This Row],[Target]])</f>
        <v>1.1626080125687352</v>
      </c>
      <c r="J32" s="2">
        <f>IF(CleanSalesData[[#This Row],[Units_Sold]]=0,0,CleanSalesData[[#This Row],[Corrected Revenue]]/CleanSalesData[[#This Row],[Units_Sold]])</f>
        <v>30</v>
      </c>
    </row>
    <row r="33" spans="1:10" x14ac:dyDescent="0.25">
      <c r="A33" t="s">
        <v>6</v>
      </c>
      <c r="B33" s="3">
        <v>46211</v>
      </c>
      <c r="C33" t="s">
        <v>10</v>
      </c>
      <c r="D33">
        <v>178</v>
      </c>
      <c r="E33">
        <v>5340</v>
      </c>
      <c r="F33">
        <v>4948</v>
      </c>
      <c r="G33">
        <v>5340</v>
      </c>
      <c r="H33" t="str">
        <f>IF(CleanSalesData[[#This Row],[Corrected Revenue]]&gt;CleanSalesData[[#This Row],[Target]], "Good Profit", "Low Profit"  )</f>
        <v>Good Profit</v>
      </c>
      <c r="I33" s="1">
        <f>(CleanSalesData[[#This Row],[Corrected Revenue]]/CleanSalesData[[#This Row],[Target]])</f>
        <v>1.0792239288601455</v>
      </c>
      <c r="J33" s="2">
        <f>IF(CleanSalesData[[#This Row],[Units_Sold]]=0,0,CleanSalesData[[#This Row],[Corrected Revenue]]/CleanSalesData[[#This Row],[Units_Sold]])</f>
        <v>30</v>
      </c>
    </row>
    <row r="34" spans="1:10" x14ac:dyDescent="0.25">
      <c r="A34" t="s">
        <v>6</v>
      </c>
      <c r="B34" s="3">
        <v>46212</v>
      </c>
      <c r="C34" t="s">
        <v>7</v>
      </c>
      <c r="D34">
        <v>154</v>
      </c>
      <c r="E34">
        <v>4620</v>
      </c>
      <c r="F34">
        <v>3956</v>
      </c>
      <c r="G34">
        <v>4620</v>
      </c>
      <c r="H34" t="str">
        <f>IF(CleanSalesData[[#This Row],[Corrected Revenue]]&gt;CleanSalesData[[#This Row],[Target]], "Good Profit", "Low Profit"  )</f>
        <v>Good Profit</v>
      </c>
      <c r="I34" s="1">
        <f>(CleanSalesData[[#This Row],[Corrected Revenue]]/CleanSalesData[[#This Row],[Target]])</f>
        <v>1.1678463094034379</v>
      </c>
      <c r="J34" s="2">
        <f>IF(CleanSalesData[[#This Row],[Units_Sold]]=0,0,CleanSalesData[[#This Row],[Corrected Revenue]]/CleanSalesData[[#This Row],[Units_Sold]])</f>
        <v>30</v>
      </c>
    </row>
    <row r="35" spans="1:10" x14ac:dyDescent="0.25">
      <c r="A35" t="s">
        <v>6</v>
      </c>
      <c r="B35" s="3">
        <v>46212</v>
      </c>
      <c r="C35" t="s">
        <v>8</v>
      </c>
      <c r="D35">
        <v>193</v>
      </c>
      <c r="E35">
        <v>5790</v>
      </c>
      <c r="F35">
        <v>2771</v>
      </c>
      <c r="G35">
        <v>5790</v>
      </c>
      <c r="H35" t="str">
        <f>IF(CleanSalesData[[#This Row],[Corrected Revenue]]&gt;CleanSalesData[[#This Row],[Target]], "Good Profit", "Low Profit"  )</f>
        <v>Good Profit</v>
      </c>
      <c r="I35" s="1">
        <f>(CleanSalesData[[#This Row],[Corrected Revenue]]/CleanSalesData[[#This Row],[Target]])</f>
        <v>2.0894983760375316</v>
      </c>
      <c r="J35" s="2">
        <f>IF(CleanSalesData[[#This Row],[Units_Sold]]=0,0,CleanSalesData[[#This Row],[Corrected Revenue]]/CleanSalesData[[#This Row],[Units_Sold]])</f>
        <v>30</v>
      </c>
    </row>
    <row r="36" spans="1:10" x14ac:dyDescent="0.25">
      <c r="A36" t="s">
        <v>6</v>
      </c>
      <c r="B36" s="3">
        <v>46212</v>
      </c>
      <c r="C36" t="s">
        <v>9</v>
      </c>
      <c r="D36">
        <v>110</v>
      </c>
      <c r="E36">
        <v>3300</v>
      </c>
      <c r="F36">
        <v>4319</v>
      </c>
      <c r="G36">
        <v>3300</v>
      </c>
      <c r="H36" t="str">
        <f>IF(CleanSalesData[[#This Row],[Corrected Revenue]]&gt;CleanSalesData[[#This Row],[Target]], "Good Profit", "Low Profit"  )</f>
        <v>Low Profit</v>
      </c>
      <c r="I36" s="1">
        <f>(CleanSalesData[[#This Row],[Corrected Revenue]]/CleanSalesData[[#This Row],[Target]])</f>
        <v>0.76406575596202819</v>
      </c>
      <c r="J36" s="2">
        <f>IF(CleanSalesData[[#This Row],[Units_Sold]]=0,0,CleanSalesData[[#This Row],[Corrected Revenue]]/CleanSalesData[[#This Row],[Units_Sold]])</f>
        <v>30</v>
      </c>
    </row>
    <row r="37" spans="1:10" x14ac:dyDescent="0.25">
      <c r="A37" t="s">
        <v>6</v>
      </c>
      <c r="B37" s="3">
        <v>46212</v>
      </c>
      <c r="C37" t="s">
        <v>10</v>
      </c>
      <c r="D37">
        <v>147</v>
      </c>
      <c r="E37">
        <v>4410</v>
      </c>
      <c r="F37">
        <v>2655</v>
      </c>
      <c r="G37">
        <v>4410</v>
      </c>
      <c r="H37" t="str">
        <f>IF(CleanSalesData[[#This Row],[Corrected Revenue]]&gt;CleanSalesData[[#This Row],[Target]], "Good Profit", "Low Profit"  )</f>
        <v>Good Profit</v>
      </c>
      <c r="I37" s="1">
        <f>(CleanSalesData[[#This Row],[Corrected Revenue]]/CleanSalesData[[#This Row],[Target]])</f>
        <v>1.6610169491525424</v>
      </c>
      <c r="J37" s="2">
        <f>IF(CleanSalesData[[#This Row],[Units_Sold]]=0,0,CleanSalesData[[#This Row],[Corrected Revenue]]/CleanSalesData[[#This Row],[Units_Sold]])</f>
        <v>30</v>
      </c>
    </row>
    <row r="38" spans="1:10" x14ac:dyDescent="0.25">
      <c r="A38" t="s">
        <v>6</v>
      </c>
      <c r="B38" s="3">
        <v>46213</v>
      </c>
      <c r="C38" t="s">
        <v>7</v>
      </c>
      <c r="D38">
        <v>186</v>
      </c>
      <c r="E38">
        <v>5580</v>
      </c>
      <c r="F38">
        <v>3470</v>
      </c>
      <c r="G38">
        <v>5580</v>
      </c>
      <c r="H38" t="str">
        <f>IF(CleanSalesData[[#This Row],[Corrected Revenue]]&gt;CleanSalesData[[#This Row],[Target]], "Good Profit", "Low Profit"  )</f>
        <v>Good Profit</v>
      </c>
      <c r="I38" s="1">
        <f>(CleanSalesData[[#This Row],[Corrected Revenue]]/CleanSalesData[[#This Row],[Target]])</f>
        <v>1.6080691642651297</v>
      </c>
      <c r="J38" s="2">
        <f>IF(CleanSalesData[[#This Row],[Units_Sold]]=0,0,CleanSalesData[[#This Row],[Corrected Revenue]]/CleanSalesData[[#This Row],[Units_Sold]])</f>
        <v>30</v>
      </c>
    </row>
    <row r="39" spans="1:10" x14ac:dyDescent="0.25">
      <c r="A39" t="s">
        <v>6</v>
      </c>
      <c r="B39" s="3">
        <v>46213</v>
      </c>
      <c r="C39" t="s">
        <v>8</v>
      </c>
      <c r="D39">
        <v>125</v>
      </c>
      <c r="E39">
        <v>3750</v>
      </c>
      <c r="F39">
        <v>4386</v>
      </c>
      <c r="G39">
        <v>3750</v>
      </c>
      <c r="H39" t="str">
        <f>IF(CleanSalesData[[#This Row],[Corrected Revenue]]&gt;CleanSalesData[[#This Row],[Target]], "Good Profit", "Low Profit"  )</f>
        <v>Low Profit</v>
      </c>
      <c r="I39" s="1">
        <f>(CleanSalesData[[#This Row],[Corrected Revenue]]/CleanSalesData[[#This Row],[Target]])</f>
        <v>0.85499316005471959</v>
      </c>
      <c r="J39" s="2">
        <f>IF(CleanSalesData[[#This Row],[Units_Sold]]=0,0,CleanSalesData[[#This Row],[Corrected Revenue]]/CleanSalesData[[#This Row],[Units_Sold]])</f>
        <v>30</v>
      </c>
    </row>
    <row r="40" spans="1:10" x14ac:dyDescent="0.25">
      <c r="A40" t="s">
        <v>6</v>
      </c>
      <c r="B40" s="3">
        <v>46213</v>
      </c>
      <c r="C40" t="s">
        <v>9</v>
      </c>
      <c r="D40">
        <v>187</v>
      </c>
      <c r="E40">
        <v>5610</v>
      </c>
      <c r="F40">
        <v>5085</v>
      </c>
      <c r="G40">
        <v>5610</v>
      </c>
      <c r="H40" t="str">
        <f>IF(CleanSalesData[[#This Row],[Corrected Revenue]]&gt;CleanSalesData[[#This Row],[Target]], "Good Profit", "Low Profit"  )</f>
        <v>Good Profit</v>
      </c>
      <c r="I40" s="1">
        <f>(CleanSalesData[[#This Row],[Corrected Revenue]]/CleanSalesData[[#This Row],[Target]])</f>
        <v>1.1032448377581121</v>
      </c>
      <c r="J40" s="2">
        <f>IF(CleanSalesData[[#This Row],[Units_Sold]]=0,0,CleanSalesData[[#This Row],[Corrected Revenue]]/CleanSalesData[[#This Row],[Units_Sold]])</f>
        <v>30</v>
      </c>
    </row>
    <row r="41" spans="1:10" x14ac:dyDescent="0.25">
      <c r="A41" t="s">
        <v>6</v>
      </c>
      <c r="B41" s="3">
        <v>46213</v>
      </c>
      <c r="C41" t="s">
        <v>10</v>
      </c>
      <c r="D41">
        <v>186</v>
      </c>
      <c r="E41">
        <v>5580</v>
      </c>
      <c r="F41">
        <v>4575</v>
      </c>
      <c r="G41">
        <v>5580</v>
      </c>
      <c r="H41" t="str">
        <f>IF(CleanSalesData[[#This Row],[Corrected Revenue]]&gt;CleanSalesData[[#This Row],[Target]], "Good Profit", "Low Profit"  )</f>
        <v>Good Profit</v>
      </c>
      <c r="I41" s="1">
        <f>(CleanSalesData[[#This Row],[Corrected Revenue]]/CleanSalesData[[#This Row],[Target]])</f>
        <v>1.2196721311475409</v>
      </c>
      <c r="J41" s="2">
        <f>IF(CleanSalesData[[#This Row],[Units_Sold]]=0,0,CleanSalesData[[#This Row],[Corrected Revenue]]/CleanSalesData[[#This Row],[Units_Sold]])</f>
        <v>30</v>
      </c>
    </row>
    <row r="42" spans="1:10" x14ac:dyDescent="0.25">
      <c r="A42" t="s">
        <v>6</v>
      </c>
      <c r="B42" s="3">
        <v>46214</v>
      </c>
      <c r="C42" t="s">
        <v>7</v>
      </c>
      <c r="D42">
        <v>74</v>
      </c>
      <c r="E42">
        <v>2220</v>
      </c>
      <c r="F42">
        <v>4362</v>
      </c>
      <c r="G42">
        <v>2220</v>
      </c>
      <c r="H42" t="str">
        <f>IF(CleanSalesData[[#This Row],[Corrected Revenue]]&gt;CleanSalesData[[#This Row],[Target]], "Good Profit", "Low Profit"  )</f>
        <v>Low Profit</v>
      </c>
      <c r="I42" s="1">
        <f>(CleanSalesData[[#This Row],[Corrected Revenue]]/CleanSalesData[[#This Row],[Target]])</f>
        <v>0.50894085281980739</v>
      </c>
      <c r="J42" s="2">
        <f>IF(CleanSalesData[[#This Row],[Units_Sold]]=0,0,CleanSalesData[[#This Row],[Corrected Revenue]]/CleanSalesData[[#This Row],[Units_Sold]])</f>
        <v>30</v>
      </c>
    </row>
    <row r="43" spans="1:10" x14ac:dyDescent="0.25">
      <c r="A43" t="s">
        <v>6</v>
      </c>
      <c r="B43" s="3">
        <v>46214</v>
      </c>
      <c r="C43" t="s">
        <v>8</v>
      </c>
      <c r="D43">
        <v>124</v>
      </c>
      <c r="E43">
        <v>3720</v>
      </c>
      <c r="F43">
        <v>5230</v>
      </c>
      <c r="G43">
        <v>3720</v>
      </c>
      <c r="H43" t="str">
        <f>IF(CleanSalesData[[#This Row],[Corrected Revenue]]&gt;CleanSalesData[[#This Row],[Target]], "Good Profit", "Low Profit"  )</f>
        <v>Low Profit</v>
      </c>
      <c r="I43" s="1">
        <f>(CleanSalesData[[#This Row],[Corrected Revenue]]/CleanSalesData[[#This Row],[Target]])</f>
        <v>0.71128107074569791</v>
      </c>
      <c r="J43" s="2">
        <f>IF(CleanSalesData[[#This Row],[Units_Sold]]=0,0,CleanSalesData[[#This Row],[Corrected Revenue]]/CleanSalesData[[#This Row],[Units_Sold]])</f>
        <v>30</v>
      </c>
    </row>
    <row r="44" spans="1:10" x14ac:dyDescent="0.25">
      <c r="A44" t="s">
        <v>6</v>
      </c>
      <c r="B44" s="3">
        <v>46214</v>
      </c>
      <c r="C44" t="s">
        <v>9</v>
      </c>
      <c r="D44">
        <v>122</v>
      </c>
      <c r="E44">
        <v>3660</v>
      </c>
      <c r="F44">
        <v>5050</v>
      </c>
      <c r="G44">
        <v>3660</v>
      </c>
      <c r="H44" t="str">
        <f>IF(CleanSalesData[[#This Row],[Corrected Revenue]]&gt;CleanSalesData[[#This Row],[Target]], "Good Profit", "Low Profit"  )</f>
        <v>Low Profit</v>
      </c>
      <c r="I44" s="1">
        <f>(CleanSalesData[[#This Row],[Corrected Revenue]]/CleanSalesData[[#This Row],[Target]])</f>
        <v>0.72475247524752473</v>
      </c>
      <c r="J44" s="2">
        <f>IF(CleanSalesData[[#This Row],[Units_Sold]]=0,0,CleanSalesData[[#This Row],[Corrected Revenue]]/CleanSalesData[[#This Row],[Units_Sold]])</f>
        <v>30</v>
      </c>
    </row>
    <row r="45" spans="1:10" x14ac:dyDescent="0.25">
      <c r="A45" t="s">
        <v>6</v>
      </c>
      <c r="B45" s="3">
        <v>46214</v>
      </c>
      <c r="C45" t="s">
        <v>10</v>
      </c>
      <c r="D45">
        <v>144</v>
      </c>
      <c r="E45">
        <v>4320</v>
      </c>
      <c r="F45">
        <v>3578</v>
      </c>
      <c r="G45">
        <v>4320</v>
      </c>
      <c r="H45" t="str">
        <f>IF(CleanSalesData[[#This Row],[Corrected Revenue]]&gt;CleanSalesData[[#This Row],[Target]], "Good Profit", "Low Profit"  )</f>
        <v>Good Profit</v>
      </c>
      <c r="I45" s="1">
        <f>(CleanSalesData[[#This Row],[Corrected Revenue]]/CleanSalesData[[#This Row],[Target]])</f>
        <v>1.2073784237003913</v>
      </c>
      <c r="J45" s="2">
        <f>IF(CleanSalesData[[#This Row],[Units_Sold]]=0,0,CleanSalesData[[#This Row],[Corrected Revenue]]/CleanSalesData[[#This Row],[Units_Sold]])</f>
        <v>30</v>
      </c>
    </row>
    <row r="46" spans="1:10" x14ac:dyDescent="0.25">
      <c r="A46" t="s">
        <v>6</v>
      </c>
      <c r="B46" s="3">
        <v>46215</v>
      </c>
      <c r="C46" t="s">
        <v>7</v>
      </c>
      <c r="D46">
        <v>107</v>
      </c>
      <c r="E46">
        <v>3210</v>
      </c>
      <c r="F46">
        <v>5389</v>
      </c>
      <c r="G46">
        <v>3210</v>
      </c>
      <c r="H46" t="str">
        <f>IF(CleanSalesData[[#This Row],[Corrected Revenue]]&gt;CleanSalesData[[#This Row],[Target]], "Good Profit", "Low Profit"  )</f>
        <v>Low Profit</v>
      </c>
      <c r="I46" s="1">
        <f>(CleanSalesData[[#This Row],[Corrected Revenue]]/CleanSalesData[[#This Row],[Target]])</f>
        <v>0.59565782148821678</v>
      </c>
      <c r="J46" s="2">
        <f>IF(CleanSalesData[[#This Row],[Units_Sold]]=0,0,CleanSalesData[[#This Row],[Corrected Revenue]]/CleanSalesData[[#This Row],[Units_Sold]])</f>
        <v>30</v>
      </c>
    </row>
    <row r="47" spans="1:10" x14ac:dyDescent="0.25">
      <c r="A47" t="s">
        <v>6</v>
      </c>
      <c r="B47" s="3">
        <v>46215</v>
      </c>
      <c r="C47" t="s">
        <v>8</v>
      </c>
      <c r="D47">
        <v>73</v>
      </c>
      <c r="E47">
        <v>2190</v>
      </c>
      <c r="F47">
        <v>4441</v>
      </c>
      <c r="G47">
        <v>2190</v>
      </c>
      <c r="H47" t="str">
        <f>IF(CleanSalesData[[#This Row],[Corrected Revenue]]&gt;CleanSalesData[[#This Row],[Target]], "Good Profit", "Low Profit"  )</f>
        <v>Low Profit</v>
      </c>
      <c r="I47" s="1">
        <f>(CleanSalesData[[#This Row],[Corrected Revenue]]/CleanSalesData[[#This Row],[Target]])</f>
        <v>0.49313217743751409</v>
      </c>
      <c r="J47" s="2">
        <f>IF(CleanSalesData[[#This Row],[Units_Sold]]=0,0,CleanSalesData[[#This Row],[Corrected Revenue]]/CleanSalesData[[#This Row],[Units_Sold]])</f>
        <v>30</v>
      </c>
    </row>
    <row r="48" spans="1:10" x14ac:dyDescent="0.25">
      <c r="A48" t="s">
        <v>6</v>
      </c>
      <c r="B48" s="3">
        <v>46215</v>
      </c>
      <c r="C48" t="s">
        <v>9</v>
      </c>
      <c r="D48">
        <v>103</v>
      </c>
      <c r="E48">
        <v>3090</v>
      </c>
      <c r="F48">
        <v>3036</v>
      </c>
      <c r="G48">
        <v>3090</v>
      </c>
      <c r="H48" t="str">
        <f>IF(CleanSalesData[[#This Row],[Corrected Revenue]]&gt;CleanSalesData[[#This Row],[Target]], "Good Profit", "Low Profit"  )</f>
        <v>Good Profit</v>
      </c>
      <c r="I48" s="1">
        <f>(CleanSalesData[[#This Row],[Corrected Revenue]]/CleanSalesData[[#This Row],[Target]])</f>
        <v>1.017786561264822</v>
      </c>
      <c r="J48" s="2">
        <f>IF(CleanSalesData[[#This Row],[Units_Sold]]=0,0,CleanSalesData[[#This Row],[Corrected Revenue]]/CleanSalesData[[#This Row],[Units_Sold]])</f>
        <v>30</v>
      </c>
    </row>
    <row r="49" spans="1:10" x14ac:dyDescent="0.25">
      <c r="A49" t="s">
        <v>6</v>
      </c>
      <c r="B49" s="3">
        <v>46215</v>
      </c>
      <c r="C49" t="s">
        <v>10</v>
      </c>
      <c r="D49">
        <v>166</v>
      </c>
      <c r="E49">
        <v>4980</v>
      </c>
      <c r="F49">
        <v>3186</v>
      </c>
      <c r="G49">
        <v>4980</v>
      </c>
      <c r="H49" t="str">
        <f>IF(CleanSalesData[[#This Row],[Corrected Revenue]]&gt;CleanSalesData[[#This Row],[Target]], "Good Profit", "Low Profit"  )</f>
        <v>Good Profit</v>
      </c>
      <c r="I49" s="1">
        <f>(CleanSalesData[[#This Row],[Corrected Revenue]]/CleanSalesData[[#This Row],[Target]])</f>
        <v>1.5630885122410547</v>
      </c>
      <c r="J49" s="2">
        <f>IF(CleanSalesData[[#This Row],[Units_Sold]]=0,0,CleanSalesData[[#This Row],[Corrected Revenue]]/CleanSalesData[[#This Row],[Units_Sold]])</f>
        <v>30</v>
      </c>
    </row>
    <row r="50" spans="1:10" x14ac:dyDescent="0.25">
      <c r="A50" t="s">
        <v>6</v>
      </c>
      <c r="B50" s="3">
        <v>46216</v>
      </c>
      <c r="C50" t="s">
        <v>7</v>
      </c>
      <c r="D50">
        <v>108</v>
      </c>
      <c r="E50">
        <v>3240</v>
      </c>
      <c r="F50">
        <v>3667</v>
      </c>
      <c r="G50">
        <v>3240</v>
      </c>
      <c r="H50" t="str">
        <f>IF(CleanSalesData[[#This Row],[Corrected Revenue]]&gt;CleanSalesData[[#This Row],[Target]], "Good Profit", "Low Profit"  )</f>
        <v>Low Profit</v>
      </c>
      <c r="I50" s="1">
        <f>(CleanSalesData[[#This Row],[Corrected Revenue]]/CleanSalesData[[#This Row],[Target]])</f>
        <v>0.88355604035996727</v>
      </c>
      <c r="J50" s="2">
        <f>IF(CleanSalesData[[#This Row],[Units_Sold]]=0,0,CleanSalesData[[#This Row],[Corrected Revenue]]/CleanSalesData[[#This Row],[Units_Sold]])</f>
        <v>30</v>
      </c>
    </row>
    <row r="51" spans="1:10" x14ac:dyDescent="0.25">
      <c r="A51" t="s">
        <v>6</v>
      </c>
      <c r="B51" s="3">
        <v>46216</v>
      </c>
      <c r="C51" t="s">
        <v>8</v>
      </c>
      <c r="D51">
        <v>128</v>
      </c>
      <c r="E51">
        <v>3840</v>
      </c>
      <c r="F51">
        <v>3983</v>
      </c>
      <c r="G51">
        <v>3840</v>
      </c>
      <c r="H51" t="str">
        <f>IF(CleanSalesData[[#This Row],[Corrected Revenue]]&gt;CleanSalesData[[#This Row],[Target]], "Good Profit", "Low Profit"  )</f>
        <v>Low Profit</v>
      </c>
      <c r="I51" s="1">
        <f>(CleanSalesData[[#This Row],[Corrected Revenue]]/CleanSalesData[[#This Row],[Target]])</f>
        <v>0.96409741400954052</v>
      </c>
      <c r="J51" s="2">
        <f>IF(CleanSalesData[[#This Row],[Units_Sold]]=0,0,CleanSalesData[[#This Row],[Corrected Revenue]]/CleanSalesData[[#This Row],[Units_Sold]])</f>
        <v>30</v>
      </c>
    </row>
    <row r="52" spans="1:10" x14ac:dyDescent="0.25">
      <c r="A52" t="s">
        <v>6</v>
      </c>
      <c r="B52" s="3">
        <v>46216</v>
      </c>
      <c r="C52" t="s">
        <v>9</v>
      </c>
      <c r="D52">
        <v>118</v>
      </c>
      <c r="E52">
        <v>3540</v>
      </c>
      <c r="F52">
        <v>3249</v>
      </c>
      <c r="G52">
        <v>3540</v>
      </c>
      <c r="H52" t="str">
        <f>IF(CleanSalesData[[#This Row],[Corrected Revenue]]&gt;CleanSalesData[[#This Row],[Target]], "Good Profit", "Low Profit"  )</f>
        <v>Good Profit</v>
      </c>
      <c r="I52" s="1">
        <f>(CleanSalesData[[#This Row],[Corrected Revenue]]/CleanSalesData[[#This Row],[Target]])</f>
        <v>1.0895660203139428</v>
      </c>
      <c r="J52" s="2">
        <f>IF(CleanSalesData[[#This Row],[Units_Sold]]=0,0,CleanSalesData[[#This Row],[Corrected Revenue]]/CleanSalesData[[#This Row],[Units_Sold]])</f>
        <v>30</v>
      </c>
    </row>
    <row r="53" spans="1:10" x14ac:dyDescent="0.25">
      <c r="A53" t="s">
        <v>6</v>
      </c>
      <c r="B53" s="3">
        <v>46216</v>
      </c>
      <c r="C53" t="s">
        <v>10</v>
      </c>
      <c r="D53">
        <v>87</v>
      </c>
      <c r="E53">
        <v>2610</v>
      </c>
      <c r="F53">
        <v>3278</v>
      </c>
      <c r="G53">
        <v>2610</v>
      </c>
      <c r="H53" t="str">
        <f>IF(CleanSalesData[[#This Row],[Corrected Revenue]]&gt;CleanSalesData[[#This Row],[Target]], "Good Profit", "Low Profit"  )</f>
        <v>Low Profit</v>
      </c>
      <c r="I53" s="1">
        <f>(CleanSalesData[[#This Row],[Corrected Revenue]]/CleanSalesData[[#This Row],[Target]])</f>
        <v>0.79621720561317877</v>
      </c>
      <c r="J53" s="2">
        <f>IF(CleanSalesData[[#This Row],[Units_Sold]]=0,0,CleanSalesData[[#This Row],[Corrected Revenue]]/CleanSalesData[[#This Row],[Units_Sold]])</f>
        <v>30</v>
      </c>
    </row>
    <row r="54" spans="1:10" x14ac:dyDescent="0.25">
      <c r="A54" t="s">
        <v>6</v>
      </c>
      <c r="B54" s="3">
        <v>46217</v>
      </c>
      <c r="C54" t="s">
        <v>7</v>
      </c>
      <c r="D54">
        <v>197</v>
      </c>
      <c r="E54">
        <v>5910</v>
      </c>
      <c r="F54">
        <v>2796</v>
      </c>
      <c r="G54">
        <v>5910</v>
      </c>
      <c r="H54" t="str">
        <f>IF(CleanSalesData[[#This Row],[Corrected Revenue]]&gt;CleanSalesData[[#This Row],[Target]], "Good Profit", "Low Profit"  )</f>
        <v>Good Profit</v>
      </c>
      <c r="I54" s="1">
        <f>(CleanSalesData[[#This Row],[Corrected Revenue]]/CleanSalesData[[#This Row],[Target]])</f>
        <v>2.1137339055793993</v>
      </c>
      <c r="J54" s="2">
        <f>IF(CleanSalesData[[#This Row],[Units_Sold]]=0,0,CleanSalesData[[#This Row],[Corrected Revenue]]/CleanSalesData[[#This Row],[Units_Sold]])</f>
        <v>30</v>
      </c>
    </row>
    <row r="55" spans="1:10" x14ac:dyDescent="0.25">
      <c r="A55" t="s">
        <v>6</v>
      </c>
      <c r="B55" s="3">
        <v>46217</v>
      </c>
      <c r="C55" t="s">
        <v>8</v>
      </c>
      <c r="D55">
        <v>96</v>
      </c>
      <c r="E55">
        <v>2880</v>
      </c>
      <c r="F55">
        <v>3526</v>
      </c>
      <c r="G55">
        <v>2880</v>
      </c>
      <c r="H55" t="str">
        <f>IF(CleanSalesData[[#This Row],[Corrected Revenue]]&gt;CleanSalesData[[#This Row],[Target]], "Good Profit", "Low Profit"  )</f>
        <v>Low Profit</v>
      </c>
      <c r="I55" s="1">
        <f>(CleanSalesData[[#This Row],[Corrected Revenue]]/CleanSalesData[[#This Row],[Target]])</f>
        <v>0.81678956324446961</v>
      </c>
      <c r="J55" s="2">
        <f>IF(CleanSalesData[[#This Row],[Units_Sold]]=0,0,CleanSalesData[[#This Row],[Corrected Revenue]]/CleanSalesData[[#This Row],[Units_Sold]])</f>
        <v>30</v>
      </c>
    </row>
    <row r="56" spans="1:10" x14ac:dyDescent="0.25">
      <c r="A56" t="s">
        <v>6</v>
      </c>
      <c r="B56" s="3">
        <v>46217</v>
      </c>
      <c r="C56" t="s">
        <v>9</v>
      </c>
      <c r="D56">
        <v>189</v>
      </c>
      <c r="E56">
        <v>5670</v>
      </c>
      <c r="F56">
        <v>5935</v>
      </c>
      <c r="G56">
        <v>5670</v>
      </c>
      <c r="H56" t="str">
        <f>IF(CleanSalesData[[#This Row],[Corrected Revenue]]&gt;CleanSalesData[[#This Row],[Target]], "Good Profit", "Low Profit"  )</f>
        <v>Low Profit</v>
      </c>
      <c r="I56" s="1">
        <f>(CleanSalesData[[#This Row],[Corrected Revenue]]/CleanSalesData[[#This Row],[Target]])</f>
        <v>0.95534962089300757</v>
      </c>
      <c r="J56" s="2">
        <f>IF(CleanSalesData[[#This Row],[Units_Sold]]=0,0,CleanSalesData[[#This Row],[Corrected Revenue]]/CleanSalesData[[#This Row],[Units_Sold]])</f>
        <v>30</v>
      </c>
    </row>
    <row r="57" spans="1:10" x14ac:dyDescent="0.25">
      <c r="A57" t="s">
        <v>6</v>
      </c>
      <c r="B57" s="3">
        <v>46217</v>
      </c>
      <c r="C57" t="s">
        <v>10</v>
      </c>
      <c r="D57">
        <v>110</v>
      </c>
      <c r="E57">
        <v>3300</v>
      </c>
      <c r="F57">
        <v>4449</v>
      </c>
      <c r="G57">
        <v>3300</v>
      </c>
      <c r="H57" t="str">
        <f>IF(CleanSalesData[[#This Row],[Corrected Revenue]]&gt;CleanSalesData[[#This Row],[Target]], "Good Profit", "Low Profit"  )</f>
        <v>Low Profit</v>
      </c>
      <c r="I57" s="1">
        <f>(CleanSalesData[[#This Row],[Corrected Revenue]]/CleanSalesData[[#This Row],[Target]])</f>
        <v>0.74173971679028994</v>
      </c>
      <c r="J57" s="2">
        <f>IF(CleanSalesData[[#This Row],[Units_Sold]]=0,0,CleanSalesData[[#This Row],[Corrected Revenue]]/CleanSalesData[[#This Row],[Units_Sold]])</f>
        <v>30</v>
      </c>
    </row>
    <row r="58" spans="1:10" x14ac:dyDescent="0.25">
      <c r="A58" t="s">
        <v>6</v>
      </c>
      <c r="B58" s="3">
        <v>46218</v>
      </c>
      <c r="C58" t="s">
        <v>7</v>
      </c>
      <c r="D58">
        <v>170</v>
      </c>
      <c r="E58">
        <v>5100</v>
      </c>
      <c r="F58">
        <v>5292</v>
      </c>
      <c r="G58">
        <v>5100</v>
      </c>
      <c r="H58" t="str">
        <f>IF(CleanSalesData[[#This Row],[Corrected Revenue]]&gt;CleanSalesData[[#This Row],[Target]], "Good Profit", "Low Profit"  )</f>
        <v>Low Profit</v>
      </c>
      <c r="I58" s="1">
        <f>(CleanSalesData[[#This Row],[Corrected Revenue]]/CleanSalesData[[#This Row],[Target]])</f>
        <v>0.96371882086167804</v>
      </c>
      <c r="J58" s="2">
        <f>IF(CleanSalesData[[#This Row],[Units_Sold]]=0,0,CleanSalesData[[#This Row],[Corrected Revenue]]/CleanSalesData[[#This Row],[Units_Sold]])</f>
        <v>30</v>
      </c>
    </row>
    <row r="59" spans="1:10" x14ac:dyDescent="0.25">
      <c r="A59" t="s">
        <v>6</v>
      </c>
      <c r="B59" s="3">
        <v>46218</v>
      </c>
      <c r="C59" t="s">
        <v>8</v>
      </c>
      <c r="D59">
        <v>104</v>
      </c>
      <c r="E59">
        <v>3120</v>
      </c>
      <c r="F59">
        <v>5626</v>
      </c>
      <c r="G59">
        <v>3120</v>
      </c>
      <c r="H59" t="str">
        <f>IF(CleanSalesData[[#This Row],[Corrected Revenue]]&gt;CleanSalesData[[#This Row],[Target]], "Good Profit", "Low Profit"  )</f>
        <v>Low Profit</v>
      </c>
      <c r="I59" s="1">
        <f>(CleanSalesData[[#This Row],[Corrected Revenue]]/CleanSalesData[[#This Row],[Target]])</f>
        <v>0.55456807678634912</v>
      </c>
      <c r="J59" s="2">
        <f>IF(CleanSalesData[[#This Row],[Units_Sold]]=0,0,CleanSalesData[[#This Row],[Corrected Revenue]]/CleanSalesData[[#This Row],[Units_Sold]])</f>
        <v>30</v>
      </c>
    </row>
    <row r="60" spans="1:10" x14ac:dyDescent="0.25">
      <c r="A60" t="s">
        <v>6</v>
      </c>
      <c r="B60" s="3">
        <v>46218</v>
      </c>
      <c r="C60" t="s">
        <v>9</v>
      </c>
      <c r="D60">
        <v>141</v>
      </c>
      <c r="E60">
        <v>4230</v>
      </c>
      <c r="F60">
        <v>5523</v>
      </c>
      <c r="G60">
        <v>4230</v>
      </c>
      <c r="H60" t="str">
        <f>IF(CleanSalesData[[#This Row],[Corrected Revenue]]&gt;CleanSalesData[[#This Row],[Target]], "Good Profit", "Low Profit"  )</f>
        <v>Low Profit</v>
      </c>
      <c r="I60" s="1">
        <f>(CleanSalesData[[#This Row],[Corrected Revenue]]/CleanSalesData[[#This Row],[Target]])</f>
        <v>0.76588810429114607</v>
      </c>
      <c r="J60" s="2">
        <f>IF(CleanSalesData[[#This Row],[Units_Sold]]=0,0,CleanSalesData[[#This Row],[Corrected Revenue]]/CleanSalesData[[#This Row],[Units_Sold]])</f>
        <v>30</v>
      </c>
    </row>
    <row r="61" spans="1:10" x14ac:dyDescent="0.25">
      <c r="A61" t="s">
        <v>6</v>
      </c>
      <c r="B61" s="3">
        <v>46218</v>
      </c>
      <c r="C61" t="s">
        <v>10</v>
      </c>
      <c r="D61">
        <v>123</v>
      </c>
      <c r="E61">
        <v>3690</v>
      </c>
      <c r="F61">
        <v>2819</v>
      </c>
      <c r="G61">
        <v>3690</v>
      </c>
      <c r="H61" t="str">
        <f>IF(CleanSalesData[[#This Row],[Corrected Revenue]]&gt;CleanSalesData[[#This Row],[Target]], "Good Profit", "Low Profit"  )</f>
        <v>Good Profit</v>
      </c>
      <c r="I61" s="1">
        <f>(CleanSalesData[[#This Row],[Corrected Revenue]]/CleanSalesData[[#This Row],[Target]])</f>
        <v>1.308974813763746</v>
      </c>
      <c r="J61" s="2">
        <f>IF(CleanSalesData[[#This Row],[Units_Sold]]=0,0,CleanSalesData[[#This Row],[Corrected Revenue]]/CleanSalesData[[#This Row],[Units_Sold]])</f>
        <v>30</v>
      </c>
    </row>
    <row r="62" spans="1:10" x14ac:dyDescent="0.25">
      <c r="A62" t="s">
        <v>6</v>
      </c>
      <c r="B62" s="3">
        <v>46219</v>
      </c>
      <c r="C62" t="s">
        <v>7</v>
      </c>
      <c r="D62">
        <v>145</v>
      </c>
      <c r="E62">
        <v>4350</v>
      </c>
      <c r="F62">
        <v>5910</v>
      </c>
      <c r="G62">
        <v>4350</v>
      </c>
      <c r="H62" t="str">
        <f>IF(CleanSalesData[[#This Row],[Corrected Revenue]]&gt;CleanSalesData[[#This Row],[Target]], "Good Profit", "Low Profit"  )</f>
        <v>Low Profit</v>
      </c>
      <c r="I62" s="1">
        <f>(CleanSalesData[[#This Row],[Corrected Revenue]]/CleanSalesData[[#This Row],[Target]])</f>
        <v>0.73604060913705582</v>
      </c>
      <c r="J62" s="2">
        <f>IF(CleanSalesData[[#This Row],[Units_Sold]]=0,0,CleanSalesData[[#This Row],[Corrected Revenue]]/CleanSalesData[[#This Row],[Units_Sold]])</f>
        <v>30</v>
      </c>
    </row>
    <row r="63" spans="1:10" x14ac:dyDescent="0.25">
      <c r="A63" t="s">
        <v>6</v>
      </c>
      <c r="B63" s="3">
        <v>46219</v>
      </c>
      <c r="C63" t="s">
        <v>8</v>
      </c>
      <c r="D63">
        <v>72</v>
      </c>
      <c r="E63">
        <v>2160</v>
      </c>
      <c r="F63">
        <v>5823</v>
      </c>
      <c r="G63">
        <v>2160</v>
      </c>
      <c r="H63" t="str">
        <f>IF(CleanSalesData[[#This Row],[Corrected Revenue]]&gt;CleanSalesData[[#This Row],[Target]], "Good Profit", "Low Profit"  )</f>
        <v>Low Profit</v>
      </c>
      <c r="I63" s="1">
        <f>(CleanSalesData[[#This Row],[Corrected Revenue]]/CleanSalesData[[#This Row],[Target]])</f>
        <v>0.37094281298299847</v>
      </c>
      <c r="J63" s="2">
        <f>IF(CleanSalesData[[#This Row],[Units_Sold]]=0,0,CleanSalesData[[#This Row],[Corrected Revenue]]/CleanSalesData[[#This Row],[Units_Sold]])</f>
        <v>30</v>
      </c>
    </row>
    <row r="64" spans="1:10" x14ac:dyDescent="0.25">
      <c r="A64" t="s">
        <v>6</v>
      </c>
      <c r="B64" s="3">
        <v>46219</v>
      </c>
      <c r="C64" t="s">
        <v>9</v>
      </c>
      <c r="D64">
        <v>73</v>
      </c>
      <c r="E64">
        <v>2190</v>
      </c>
      <c r="F64">
        <v>5114</v>
      </c>
      <c r="G64">
        <v>2190</v>
      </c>
      <c r="H64" t="str">
        <f>IF(CleanSalesData[[#This Row],[Corrected Revenue]]&gt;CleanSalesData[[#This Row],[Target]], "Good Profit", "Low Profit"  )</f>
        <v>Low Profit</v>
      </c>
      <c r="I64" s="1">
        <f>(CleanSalesData[[#This Row],[Corrected Revenue]]/CleanSalesData[[#This Row],[Target]])</f>
        <v>0.42823621431364883</v>
      </c>
      <c r="J64" s="2">
        <f>IF(CleanSalesData[[#This Row],[Units_Sold]]=0,0,CleanSalesData[[#This Row],[Corrected Revenue]]/CleanSalesData[[#This Row],[Units_Sold]])</f>
        <v>30</v>
      </c>
    </row>
    <row r="65" spans="1:10" x14ac:dyDescent="0.25">
      <c r="A65" t="s">
        <v>6</v>
      </c>
      <c r="B65" s="3">
        <v>46219</v>
      </c>
      <c r="C65" t="s">
        <v>10</v>
      </c>
      <c r="D65">
        <v>114</v>
      </c>
      <c r="E65">
        <v>3420</v>
      </c>
      <c r="F65">
        <v>3297</v>
      </c>
      <c r="G65">
        <v>3420</v>
      </c>
      <c r="H65" t="str">
        <f>IF(CleanSalesData[[#This Row],[Corrected Revenue]]&gt;CleanSalesData[[#This Row],[Target]], "Good Profit", "Low Profit"  )</f>
        <v>Good Profit</v>
      </c>
      <c r="I65" s="1">
        <f>(CleanSalesData[[#This Row],[Corrected Revenue]]/CleanSalesData[[#This Row],[Target]])</f>
        <v>1.0373066424021837</v>
      </c>
      <c r="J65" s="2">
        <f>IF(CleanSalesData[[#This Row],[Units_Sold]]=0,0,CleanSalesData[[#This Row],[Corrected Revenue]]/CleanSalesData[[#This Row],[Units_Sold]])</f>
        <v>30</v>
      </c>
    </row>
    <row r="66" spans="1:10" x14ac:dyDescent="0.25">
      <c r="A66" t="s">
        <v>6</v>
      </c>
      <c r="B66" s="3">
        <v>46220</v>
      </c>
      <c r="C66" t="s">
        <v>7</v>
      </c>
      <c r="D66">
        <v>79</v>
      </c>
      <c r="E66">
        <v>2370</v>
      </c>
      <c r="F66">
        <v>3149</v>
      </c>
      <c r="G66">
        <v>2370</v>
      </c>
      <c r="H66" t="str">
        <f>IF(CleanSalesData[[#This Row],[Corrected Revenue]]&gt;CleanSalesData[[#This Row],[Target]], "Good Profit", "Low Profit"  )</f>
        <v>Low Profit</v>
      </c>
      <c r="I66" s="1">
        <f>(CleanSalesData[[#This Row],[Corrected Revenue]]/CleanSalesData[[#This Row],[Target]])</f>
        <v>0.75261987932677044</v>
      </c>
      <c r="J66" s="2">
        <f>IF(CleanSalesData[[#This Row],[Units_Sold]]=0,0,CleanSalesData[[#This Row],[Corrected Revenue]]/CleanSalesData[[#This Row],[Units_Sold]])</f>
        <v>30</v>
      </c>
    </row>
    <row r="67" spans="1:10" x14ac:dyDescent="0.25">
      <c r="A67" t="s">
        <v>6</v>
      </c>
      <c r="B67" s="3">
        <v>46220</v>
      </c>
      <c r="C67" t="s">
        <v>8</v>
      </c>
      <c r="D67">
        <v>184</v>
      </c>
      <c r="E67">
        <v>5520</v>
      </c>
      <c r="F67">
        <v>5662</v>
      </c>
      <c r="G67">
        <v>5520</v>
      </c>
      <c r="H67" t="str">
        <f>IF(CleanSalesData[[#This Row],[Corrected Revenue]]&gt;CleanSalesData[[#This Row],[Target]], "Good Profit", "Low Profit"  )</f>
        <v>Low Profit</v>
      </c>
      <c r="I67" s="1">
        <f>(CleanSalesData[[#This Row],[Corrected Revenue]]/CleanSalesData[[#This Row],[Target]])</f>
        <v>0.97492052278346875</v>
      </c>
      <c r="J67" s="2">
        <f>IF(CleanSalesData[[#This Row],[Units_Sold]]=0,0,CleanSalesData[[#This Row],[Corrected Revenue]]/CleanSalesData[[#This Row],[Units_Sold]])</f>
        <v>30</v>
      </c>
    </row>
    <row r="68" spans="1:10" x14ac:dyDescent="0.25">
      <c r="A68" t="s">
        <v>6</v>
      </c>
      <c r="B68" s="3">
        <v>46220</v>
      </c>
      <c r="C68" t="s">
        <v>9</v>
      </c>
      <c r="D68">
        <v>137</v>
      </c>
      <c r="E68">
        <v>4110</v>
      </c>
      <c r="F68">
        <v>3677</v>
      </c>
      <c r="G68">
        <v>4110</v>
      </c>
      <c r="H68" t="str">
        <f>IF(CleanSalesData[[#This Row],[Corrected Revenue]]&gt;CleanSalesData[[#This Row],[Target]], "Good Profit", "Low Profit"  )</f>
        <v>Good Profit</v>
      </c>
      <c r="I68" s="1">
        <f>(CleanSalesData[[#This Row],[Corrected Revenue]]/CleanSalesData[[#This Row],[Target]])</f>
        <v>1.1177590426978514</v>
      </c>
      <c r="J68" s="2">
        <f>IF(CleanSalesData[[#This Row],[Units_Sold]]=0,0,CleanSalesData[[#This Row],[Corrected Revenue]]/CleanSalesData[[#This Row],[Units_Sold]])</f>
        <v>30</v>
      </c>
    </row>
    <row r="69" spans="1:10" x14ac:dyDescent="0.25">
      <c r="A69" t="s">
        <v>6</v>
      </c>
      <c r="B69" s="3">
        <v>46220</v>
      </c>
      <c r="C69" t="s">
        <v>10</v>
      </c>
      <c r="D69">
        <v>98</v>
      </c>
      <c r="E69">
        <v>2940</v>
      </c>
      <c r="F69">
        <v>5427</v>
      </c>
      <c r="G69">
        <v>2940</v>
      </c>
      <c r="H69" t="str">
        <f>IF(CleanSalesData[[#This Row],[Corrected Revenue]]&gt;CleanSalesData[[#This Row],[Target]], "Good Profit", "Low Profit"  )</f>
        <v>Low Profit</v>
      </c>
      <c r="I69" s="1">
        <f>(CleanSalesData[[#This Row],[Corrected Revenue]]/CleanSalesData[[#This Row],[Target]])</f>
        <v>0.54173576561636261</v>
      </c>
      <c r="J69" s="2">
        <f>IF(CleanSalesData[[#This Row],[Units_Sold]]=0,0,CleanSalesData[[#This Row],[Corrected Revenue]]/CleanSalesData[[#This Row],[Units_Sold]])</f>
        <v>30</v>
      </c>
    </row>
    <row r="70" spans="1:10" x14ac:dyDescent="0.25">
      <c r="A70" t="s">
        <v>6</v>
      </c>
      <c r="B70" s="3">
        <v>46221</v>
      </c>
      <c r="C70" t="s">
        <v>7</v>
      </c>
      <c r="D70">
        <v>141</v>
      </c>
      <c r="E70">
        <v>4230</v>
      </c>
      <c r="F70">
        <v>4716</v>
      </c>
      <c r="G70">
        <v>4230</v>
      </c>
      <c r="H70" t="str">
        <f>IF(CleanSalesData[[#This Row],[Corrected Revenue]]&gt;CleanSalesData[[#This Row],[Target]], "Good Profit", "Low Profit"  )</f>
        <v>Low Profit</v>
      </c>
      <c r="I70" s="1">
        <f>(CleanSalesData[[#This Row],[Corrected Revenue]]/CleanSalesData[[#This Row],[Target]])</f>
        <v>0.89694656488549618</v>
      </c>
      <c r="J70" s="2">
        <f>IF(CleanSalesData[[#This Row],[Units_Sold]]=0,0,CleanSalesData[[#This Row],[Corrected Revenue]]/CleanSalesData[[#This Row],[Units_Sold]])</f>
        <v>30</v>
      </c>
    </row>
    <row r="71" spans="1:10" x14ac:dyDescent="0.25">
      <c r="A71" t="s">
        <v>6</v>
      </c>
      <c r="B71" s="3">
        <v>46221</v>
      </c>
      <c r="C71" t="s">
        <v>8</v>
      </c>
      <c r="D71">
        <v>149</v>
      </c>
      <c r="E71">
        <v>4470</v>
      </c>
      <c r="F71">
        <v>4849</v>
      </c>
      <c r="G71">
        <v>4470</v>
      </c>
      <c r="H71" t="str">
        <f>IF(CleanSalesData[[#This Row],[Corrected Revenue]]&gt;CleanSalesData[[#This Row],[Target]], "Good Profit", "Low Profit"  )</f>
        <v>Low Profit</v>
      </c>
      <c r="I71" s="1">
        <f>(CleanSalesData[[#This Row],[Corrected Revenue]]/CleanSalesData[[#This Row],[Target]])</f>
        <v>0.92183955454732935</v>
      </c>
      <c r="J71" s="2">
        <f>IF(CleanSalesData[[#This Row],[Units_Sold]]=0,0,CleanSalesData[[#This Row],[Corrected Revenue]]/CleanSalesData[[#This Row],[Units_Sold]])</f>
        <v>30</v>
      </c>
    </row>
    <row r="72" spans="1:10" x14ac:dyDescent="0.25">
      <c r="A72" t="s">
        <v>6</v>
      </c>
      <c r="B72" s="3">
        <v>46221</v>
      </c>
      <c r="C72" t="s">
        <v>9</v>
      </c>
      <c r="D72">
        <v>71</v>
      </c>
      <c r="E72">
        <v>2130</v>
      </c>
      <c r="F72">
        <v>3269</v>
      </c>
      <c r="G72">
        <v>2130</v>
      </c>
      <c r="H72" t="str">
        <f>IF(CleanSalesData[[#This Row],[Corrected Revenue]]&gt;CleanSalesData[[#This Row],[Target]], "Good Profit", "Low Profit"  )</f>
        <v>Low Profit</v>
      </c>
      <c r="I72" s="1">
        <f>(CleanSalesData[[#This Row],[Corrected Revenue]]/CleanSalesData[[#This Row],[Target]])</f>
        <v>0.65157540532272862</v>
      </c>
      <c r="J72" s="2">
        <f>IF(CleanSalesData[[#This Row],[Units_Sold]]=0,0,CleanSalesData[[#This Row],[Corrected Revenue]]/CleanSalesData[[#This Row],[Units_Sold]])</f>
        <v>30</v>
      </c>
    </row>
    <row r="73" spans="1:10" x14ac:dyDescent="0.25">
      <c r="A73" t="s">
        <v>6</v>
      </c>
      <c r="B73" s="3">
        <v>46221</v>
      </c>
      <c r="C73" t="s">
        <v>10</v>
      </c>
      <c r="D73">
        <v>184</v>
      </c>
      <c r="E73">
        <v>5520</v>
      </c>
      <c r="F73">
        <v>3547</v>
      </c>
      <c r="G73">
        <v>5520</v>
      </c>
      <c r="H73" t="str">
        <f>IF(CleanSalesData[[#This Row],[Corrected Revenue]]&gt;CleanSalesData[[#This Row],[Target]], "Good Profit", "Low Profit"  )</f>
        <v>Good Profit</v>
      </c>
      <c r="I73" s="1">
        <f>(CleanSalesData[[#This Row],[Corrected Revenue]]/CleanSalesData[[#This Row],[Target]])</f>
        <v>1.556244713842684</v>
      </c>
      <c r="J73" s="2">
        <f>IF(CleanSalesData[[#This Row],[Units_Sold]]=0,0,CleanSalesData[[#This Row],[Corrected Revenue]]/CleanSalesData[[#This Row],[Units_Sold]])</f>
        <v>30</v>
      </c>
    </row>
    <row r="74" spans="1:10" x14ac:dyDescent="0.25">
      <c r="A74" t="s">
        <v>6</v>
      </c>
      <c r="B74" s="3">
        <v>46222</v>
      </c>
      <c r="C74" t="s">
        <v>7</v>
      </c>
      <c r="D74">
        <v>79</v>
      </c>
      <c r="E74">
        <v>2370</v>
      </c>
      <c r="F74">
        <v>4773</v>
      </c>
      <c r="G74">
        <v>2370</v>
      </c>
      <c r="H74" t="str">
        <f>IF(CleanSalesData[[#This Row],[Corrected Revenue]]&gt;CleanSalesData[[#This Row],[Target]], "Good Profit", "Low Profit"  )</f>
        <v>Low Profit</v>
      </c>
      <c r="I74" s="1">
        <f>(CleanSalesData[[#This Row],[Corrected Revenue]]/CleanSalesData[[#This Row],[Target]])</f>
        <v>0.49654305468258958</v>
      </c>
      <c r="J74" s="2">
        <f>IF(CleanSalesData[[#This Row],[Units_Sold]]=0,0,CleanSalesData[[#This Row],[Corrected Revenue]]/CleanSalesData[[#This Row],[Units_Sold]])</f>
        <v>30</v>
      </c>
    </row>
    <row r="75" spans="1:10" x14ac:dyDescent="0.25">
      <c r="A75" t="s">
        <v>6</v>
      </c>
      <c r="B75" s="3">
        <v>46222</v>
      </c>
      <c r="C75" t="s">
        <v>8</v>
      </c>
      <c r="D75">
        <v>120</v>
      </c>
      <c r="E75">
        <v>3600</v>
      </c>
      <c r="F75">
        <v>5071</v>
      </c>
      <c r="G75">
        <v>3600</v>
      </c>
      <c r="H75" t="str">
        <f>IF(CleanSalesData[[#This Row],[Corrected Revenue]]&gt;CleanSalesData[[#This Row],[Target]], "Good Profit", "Low Profit"  )</f>
        <v>Low Profit</v>
      </c>
      <c r="I75" s="1">
        <f>(CleanSalesData[[#This Row],[Corrected Revenue]]/CleanSalesData[[#This Row],[Target]])</f>
        <v>0.70991914809702228</v>
      </c>
      <c r="J75" s="2">
        <f>IF(CleanSalesData[[#This Row],[Units_Sold]]=0,0,CleanSalesData[[#This Row],[Corrected Revenue]]/CleanSalesData[[#This Row],[Units_Sold]])</f>
        <v>30</v>
      </c>
    </row>
    <row r="76" spans="1:10" x14ac:dyDescent="0.25">
      <c r="A76" t="s">
        <v>6</v>
      </c>
      <c r="B76" s="3">
        <v>46222</v>
      </c>
      <c r="C76" t="s">
        <v>9</v>
      </c>
      <c r="D76">
        <v>130</v>
      </c>
      <c r="E76">
        <v>3900</v>
      </c>
      <c r="F76">
        <v>5100</v>
      </c>
      <c r="G76">
        <v>3900</v>
      </c>
      <c r="H76" t="str">
        <f>IF(CleanSalesData[[#This Row],[Corrected Revenue]]&gt;CleanSalesData[[#This Row],[Target]], "Good Profit", "Low Profit"  )</f>
        <v>Low Profit</v>
      </c>
      <c r="I76" s="1">
        <f>(CleanSalesData[[#This Row],[Corrected Revenue]]/CleanSalesData[[#This Row],[Target]])</f>
        <v>0.76470588235294112</v>
      </c>
      <c r="J76" s="2">
        <f>IF(CleanSalesData[[#This Row],[Units_Sold]]=0,0,CleanSalesData[[#This Row],[Corrected Revenue]]/CleanSalesData[[#This Row],[Units_Sold]])</f>
        <v>30</v>
      </c>
    </row>
    <row r="77" spans="1:10" x14ac:dyDescent="0.25">
      <c r="A77" t="s">
        <v>6</v>
      </c>
      <c r="B77" s="3">
        <v>46222</v>
      </c>
      <c r="C77" t="s">
        <v>10</v>
      </c>
      <c r="D77">
        <v>156</v>
      </c>
      <c r="E77">
        <v>4680</v>
      </c>
      <c r="F77">
        <v>3956</v>
      </c>
      <c r="G77">
        <v>4680</v>
      </c>
      <c r="H77" t="str">
        <f>IF(CleanSalesData[[#This Row],[Corrected Revenue]]&gt;CleanSalesData[[#This Row],[Target]], "Good Profit", "Low Profit"  )</f>
        <v>Good Profit</v>
      </c>
      <c r="I77" s="1">
        <f>(CleanSalesData[[#This Row],[Corrected Revenue]]/CleanSalesData[[#This Row],[Target]])</f>
        <v>1.1830131445904954</v>
      </c>
      <c r="J77" s="2">
        <f>IF(CleanSalesData[[#This Row],[Units_Sold]]=0,0,CleanSalesData[[#This Row],[Corrected Revenue]]/CleanSalesData[[#This Row],[Units_Sold]])</f>
        <v>30</v>
      </c>
    </row>
    <row r="78" spans="1:10" x14ac:dyDescent="0.25">
      <c r="A78" t="s">
        <v>6</v>
      </c>
      <c r="B78" s="3">
        <v>46223</v>
      </c>
      <c r="C78" t="s">
        <v>7</v>
      </c>
      <c r="D78">
        <v>140</v>
      </c>
      <c r="E78">
        <v>4200</v>
      </c>
      <c r="F78">
        <v>4351</v>
      </c>
      <c r="G78">
        <v>4200</v>
      </c>
      <c r="H78" t="str">
        <f>IF(CleanSalesData[[#This Row],[Corrected Revenue]]&gt;CleanSalesData[[#This Row],[Target]], "Good Profit", "Low Profit"  )</f>
        <v>Low Profit</v>
      </c>
      <c r="I78" s="1">
        <f>(CleanSalesData[[#This Row],[Corrected Revenue]]/CleanSalesData[[#This Row],[Target]])</f>
        <v>0.96529533440588366</v>
      </c>
      <c r="J78" s="2">
        <f>IF(CleanSalesData[[#This Row],[Units_Sold]]=0,0,CleanSalesData[[#This Row],[Corrected Revenue]]/CleanSalesData[[#This Row],[Units_Sold]])</f>
        <v>30</v>
      </c>
    </row>
    <row r="79" spans="1:10" x14ac:dyDescent="0.25">
      <c r="A79" t="s">
        <v>6</v>
      </c>
      <c r="B79" s="3">
        <v>46223</v>
      </c>
      <c r="C79" t="s">
        <v>8</v>
      </c>
      <c r="D79">
        <v>116</v>
      </c>
      <c r="E79">
        <v>3480</v>
      </c>
      <c r="F79">
        <v>5790</v>
      </c>
      <c r="G79">
        <v>3480</v>
      </c>
      <c r="H79" t="str">
        <f>IF(CleanSalesData[[#This Row],[Corrected Revenue]]&gt;CleanSalesData[[#This Row],[Target]], "Good Profit", "Low Profit"  )</f>
        <v>Low Profit</v>
      </c>
      <c r="I79" s="1">
        <f>(CleanSalesData[[#This Row],[Corrected Revenue]]/CleanSalesData[[#This Row],[Target]])</f>
        <v>0.60103626943005184</v>
      </c>
      <c r="J79" s="2">
        <f>IF(CleanSalesData[[#This Row],[Units_Sold]]=0,0,CleanSalesData[[#This Row],[Corrected Revenue]]/CleanSalesData[[#This Row],[Units_Sold]])</f>
        <v>30</v>
      </c>
    </row>
    <row r="80" spans="1:10" x14ac:dyDescent="0.25">
      <c r="A80" t="s">
        <v>6</v>
      </c>
      <c r="B80" s="3">
        <v>46223</v>
      </c>
      <c r="C80" t="s">
        <v>9</v>
      </c>
      <c r="D80">
        <v>147</v>
      </c>
      <c r="E80">
        <v>4410</v>
      </c>
      <c r="F80">
        <v>2818</v>
      </c>
      <c r="G80">
        <v>4410</v>
      </c>
      <c r="H80" t="str">
        <f>IF(CleanSalesData[[#This Row],[Corrected Revenue]]&gt;CleanSalesData[[#This Row],[Target]], "Good Profit", "Low Profit"  )</f>
        <v>Good Profit</v>
      </c>
      <c r="I80" s="1">
        <f>(CleanSalesData[[#This Row],[Corrected Revenue]]/CleanSalesData[[#This Row],[Target]])</f>
        <v>1.5649396735273244</v>
      </c>
      <c r="J80" s="2">
        <f>IF(CleanSalesData[[#This Row],[Units_Sold]]=0,0,CleanSalesData[[#This Row],[Corrected Revenue]]/CleanSalesData[[#This Row],[Units_Sold]])</f>
        <v>30</v>
      </c>
    </row>
    <row r="81" spans="1:10" x14ac:dyDescent="0.25">
      <c r="A81" t="s">
        <v>6</v>
      </c>
      <c r="B81" s="3">
        <v>46223</v>
      </c>
      <c r="C81" t="s">
        <v>10</v>
      </c>
      <c r="D81">
        <v>124</v>
      </c>
      <c r="E81">
        <v>3720</v>
      </c>
      <c r="F81">
        <v>5014</v>
      </c>
      <c r="G81">
        <v>3720</v>
      </c>
      <c r="H81" t="str">
        <f>IF(CleanSalesData[[#This Row],[Corrected Revenue]]&gt;CleanSalesData[[#This Row],[Target]], "Good Profit", "Low Profit"  )</f>
        <v>Low Profit</v>
      </c>
      <c r="I81" s="1">
        <f>(CleanSalesData[[#This Row],[Corrected Revenue]]/CleanSalesData[[#This Row],[Target]])</f>
        <v>0.74192261667331472</v>
      </c>
      <c r="J81" s="2">
        <f>IF(CleanSalesData[[#This Row],[Units_Sold]]=0,0,CleanSalesData[[#This Row],[Corrected Revenue]]/CleanSalesData[[#This Row],[Units_Sold]])</f>
        <v>30</v>
      </c>
    </row>
    <row r="82" spans="1:10" x14ac:dyDescent="0.25">
      <c r="A82" t="s">
        <v>6</v>
      </c>
      <c r="B82" s="3">
        <v>46224</v>
      </c>
      <c r="C82" t="s">
        <v>7</v>
      </c>
      <c r="D82">
        <v>112</v>
      </c>
      <c r="E82">
        <v>3360</v>
      </c>
      <c r="F82">
        <v>4606</v>
      </c>
      <c r="G82">
        <v>3360</v>
      </c>
      <c r="H82" t="str">
        <f>IF(CleanSalesData[[#This Row],[Corrected Revenue]]&gt;CleanSalesData[[#This Row],[Target]], "Good Profit", "Low Profit"  )</f>
        <v>Low Profit</v>
      </c>
      <c r="I82" s="1">
        <f>(CleanSalesData[[#This Row],[Corrected Revenue]]/CleanSalesData[[#This Row],[Target]])</f>
        <v>0.72948328267477203</v>
      </c>
      <c r="J82" s="2">
        <f>IF(CleanSalesData[[#This Row],[Units_Sold]]=0,0,CleanSalesData[[#This Row],[Corrected Revenue]]/CleanSalesData[[#This Row],[Units_Sold]])</f>
        <v>30</v>
      </c>
    </row>
    <row r="83" spans="1:10" x14ac:dyDescent="0.25">
      <c r="A83" t="s">
        <v>6</v>
      </c>
      <c r="B83" s="3">
        <v>46224</v>
      </c>
      <c r="C83" t="s">
        <v>8</v>
      </c>
      <c r="D83">
        <v>115</v>
      </c>
      <c r="E83">
        <v>3450</v>
      </c>
      <c r="F83">
        <v>3509</v>
      </c>
      <c r="G83">
        <v>3450</v>
      </c>
      <c r="H83" t="str">
        <f>IF(CleanSalesData[[#This Row],[Corrected Revenue]]&gt;CleanSalesData[[#This Row],[Target]], "Good Profit", "Low Profit"  )</f>
        <v>Low Profit</v>
      </c>
      <c r="I83" s="1">
        <f>(CleanSalesData[[#This Row],[Corrected Revenue]]/CleanSalesData[[#This Row],[Target]])</f>
        <v>0.9831860929039612</v>
      </c>
      <c r="J83" s="2">
        <f>IF(CleanSalesData[[#This Row],[Units_Sold]]=0,0,CleanSalesData[[#This Row],[Corrected Revenue]]/CleanSalesData[[#This Row],[Units_Sold]])</f>
        <v>30</v>
      </c>
    </row>
    <row r="84" spans="1:10" x14ac:dyDescent="0.25">
      <c r="A84" t="s">
        <v>6</v>
      </c>
      <c r="B84" s="3">
        <v>46224</v>
      </c>
      <c r="C84" t="s">
        <v>9</v>
      </c>
      <c r="D84">
        <v>95</v>
      </c>
      <c r="E84">
        <v>2850</v>
      </c>
      <c r="F84">
        <v>5294</v>
      </c>
      <c r="G84">
        <v>2850</v>
      </c>
      <c r="H84" t="str">
        <f>IF(CleanSalesData[[#This Row],[Corrected Revenue]]&gt;CleanSalesData[[#This Row],[Target]], "Good Profit", "Low Profit"  )</f>
        <v>Low Profit</v>
      </c>
      <c r="I84" s="1">
        <f>(CleanSalesData[[#This Row],[Corrected Revenue]]/CleanSalesData[[#This Row],[Target]])</f>
        <v>0.5383452965621458</v>
      </c>
      <c r="J84" s="2">
        <f>IF(CleanSalesData[[#This Row],[Units_Sold]]=0,0,CleanSalesData[[#This Row],[Corrected Revenue]]/CleanSalesData[[#This Row],[Units_Sold]])</f>
        <v>30</v>
      </c>
    </row>
    <row r="85" spans="1:10" x14ac:dyDescent="0.25">
      <c r="A85" t="s">
        <v>6</v>
      </c>
      <c r="B85" s="3">
        <v>46224</v>
      </c>
      <c r="C85" t="s">
        <v>10</v>
      </c>
      <c r="D85">
        <v>74</v>
      </c>
      <c r="E85">
        <v>2220</v>
      </c>
      <c r="F85">
        <v>4044</v>
      </c>
      <c r="G85">
        <v>2220</v>
      </c>
      <c r="H85" t="str">
        <f>IF(CleanSalesData[[#This Row],[Corrected Revenue]]&gt;CleanSalesData[[#This Row],[Target]], "Good Profit", "Low Profit"  )</f>
        <v>Low Profit</v>
      </c>
      <c r="I85" s="1">
        <f>(CleanSalesData[[#This Row],[Corrected Revenue]]/CleanSalesData[[#This Row],[Target]])</f>
        <v>0.54896142433234418</v>
      </c>
      <c r="J85" s="2">
        <f>IF(CleanSalesData[[#This Row],[Units_Sold]]=0,0,CleanSalesData[[#This Row],[Corrected Revenue]]/CleanSalesData[[#This Row],[Units_Sold]])</f>
        <v>30</v>
      </c>
    </row>
    <row r="86" spans="1:10" x14ac:dyDescent="0.25">
      <c r="A86" t="s">
        <v>6</v>
      </c>
      <c r="B86" s="3">
        <v>46225</v>
      </c>
      <c r="C86" t="s">
        <v>7</v>
      </c>
      <c r="D86">
        <v>137</v>
      </c>
      <c r="E86">
        <v>4110</v>
      </c>
      <c r="F86">
        <v>3622</v>
      </c>
      <c r="G86">
        <v>4110</v>
      </c>
      <c r="H86" t="str">
        <f>IF(CleanSalesData[[#This Row],[Corrected Revenue]]&gt;CleanSalesData[[#This Row],[Target]], "Good Profit", "Low Profit"  )</f>
        <v>Good Profit</v>
      </c>
      <c r="I86" s="1">
        <f>(CleanSalesData[[#This Row],[Corrected Revenue]]/CleanSalesData[[#This Row],[Target]])</f>
        <v>1.1347321921590281</v>
      </c>
      <c r="J86" s="2">
        <f>IF(CleanSalesData[[#This Row],[Units_Sold]]=0,0,CleanSalesData[[#This Row],[Corrected Revenue]]/CleanSalesData[[#This Row],[Units_Sold]])</f>
        <v>30</v>
      </c>
    </row>
    <row r="87" spans="1:10" x14ac:dyDescent="0.25">
      <c r="A87" t="s">
        <v>6</v>
      </c>
      <c r="B87" s="3">
        <v>46225</v>
      </c>
      <c r="C87" t="s">
        <v>8</v>
      </c>
      <c r="D87">
        <v>182</v>
      </c>
      <c r="E87">
        <v>5460</v>
      </c>
      <c r="F87">
        <v>4461</v>
      </c>
      <c r="G87">
        <v>5460</v>
      </c>
      <c r="H87" t="str">
        <f>IF(CleanSalesData[[#This Row],[Corrected Revenue]]&gt;CleanSalesData[[#This Row],[Target]], "Good Profit", "Low Profit"  )</f>
        <v>Good Profit</v>
      </c>
      <c r="I87" s="1">
        <f>(CleanSalesData[[#This Row],[Corrected Revenue]]/CleanSalesData[[#This Row],[Target]])</f>
        <v>1.2239408204438467</v>
      </c>
      <c r="J87" s="2">
        <f>IF(CleanSalesData[[#This Row],[Units_Sold]]=0,0,CleanSalesData[[#This Row],[Corrected Revenue]]/CleanSalesData[[#This Row],[Units_Sold]])</f>
        <v>30</v>
      </c>
    </row>
    <row r="88" spans="1:10" x14ac:dyDescent="0.25">
      <c r="A88" t="s">
        <v>6</v>
      </c>
      <c r="B88" s="3">
        <v>46225</v>
      </c>
      <c r="C88" t="s">
        <v>9</v>
      </c>
      <c r="D88">
        <v>85</v>
      </c>
      <c r="E88">
        <v>2550</v>
      </c>
      <c r="F88">
        <v>3346</v>
      </c>
      <c r="G88">
        <v>2550</v>
      </c>
      <c r="H88" t="str">
        <f>IF(CleanSalesData[[#This Row],[Corrected Revenue]]&gt;CleanSalesData[[#This Row],[Target]], "Good Profit", "Low Profit"  )</f>
        <v>Low Profit</v>
      </c>
      <c r="I88" s="1">
        <f>(CleanSalesData[[#This Row],[Corrected Revenue]]/CleanSalesData[[#This Row],[Target]])</f>
        <v>0.76210400478182905</v>
      </c>
      <c r="J88" s="2">
        <f>IF(CleanSalesData[[#This Row],[Units_Sold]]=0,0,CleanSalesData[[#This Row],[Corrected Revenue]]/CleanSalesData[[#This Row],[Units_Sold]])</f>
        <v>30</v>
      </c>
    </row>
    <row r="89" spans="1:10" x14ac:dyDescent="0.25">
      <c r="A89" t="s">
        <v>6</v>
      </c>
      <c r="B89" s="3">
        <v>46225</v>
      </c>
      <c r="C89" t="s">
        <v>10</v>
      </c>
      <c r="D89">
        <v>166</v>
      </c>
      <c r="E89">
        <v>4980</v>
      </c>
      <c r="F89">
        <v>4594</v>
      </c>
      <c r="G89">
        <v>4980</v>
      </c>
      <c r="H89" t="str">
        <f>IF(CleanSalesData[[#This Row],[Corrected Revenue]]&gt;CleanSalesData[[#This Row],[Target]], "Good Profit", "Low Profit"  )</f>
        <v>Good Profit</v>
      </c>
      <c r="I89" s="1">
        <f>(CleanSalesData[[#This Row],[Corrected Revenue]]/CleanSalesData[[#This Row],[Target]])</f>
        <v>1.0840226382237701</v>
      </c>
      <c r="J89" s="2">
        <f>IF(CleanSalesData[[#This Row],[Units_Sold]]=0,0,CleanSalesData[[#This Row],[Corrected Revenue]]/CleanSalesData[[#This Row],[Units_Sold]])</f>
        <v>30</v>
      </c>
    </row>
    <row r="90" spans="1:10" x14ac:dyDescent="0.25">
      <c r="A90" t="s">
        <v>6</v>
      </c>
      <c r="B90" s="3">
        <v>46226</v>
      </c>
      <c r="C90" t="s">
        <v>7</v>
      </c>
      <c r="D90">
        <v>107</v>
      </c>
      <c r="E90">
        <v>3210</v>
      </c>
      <c r="F90">
        <v>5335</v>
      </c>
      <c r="G90">
        <v>3210</v>
      </c>
      <c r="H90" t="str">
        <f>IF(CleanSalesData[[#This Row],[Corrected Revenue]]&gt;CleanSalesData[[#This Row],[Target]], "Good Profit", "Low Profit"  )</f>
        <v>Low Profit</v>
      </c>
      <c r="I90" s="1">
        <f>(CleanSalesData[[#This Row],[Corrected Revenue]]/CleanSalesData[[#This Row],[Target]])</f>
        <v>0.60168697282099348</v>
      </c>
      <c r="J90" s="2">
        <f>IF(CleanSalesData[[#This Row],[Units_Sold]]=0,0,CleanSalesData[[#This Row],[Corrected Revenue]]/CleanSalesData[[#This Row],[Units_Sold]])</f>
        <v>30</v>
      </c>
    </row>
    <row r="91" spans="1:10" x14ac:dyDescent="0.25">
      <c r="A91" t="s">
        <v>6</v>
      </c>
      <c r="B91" s="3">
        <v>46226</v>
      </c>
      <c r="C91" t="s">
        <v>8</v>
      </c>
      <c r="D91">
        <v>88</v>
      </c>
      <c r="E91">
        <v>2640</v>
      </c>
      <c r="F91">
        <v>4340</v>
      </c>
      <c r="G91">
        <v>2640</v>
      </c>
      <c r="H91" t="str">
        <f>IF(CleanSalesData[[#This Row],[Corrected Revenue]]&gt;CleanSalesData[[#This Row],[Target]], "Good Profit", "Low Profit"  )</f>
        <v>Low Profit</v>
      </c>
      <c r="I91" s="1">
        <f>(CleanSalesData[[#This Row],[Corrected Revenue]]/CleanSalesData[[#This Row],[Target]])</f>
        <v>0.60829493087557607</v>
      </c>
      <c r="J91" s="2">
        <f>IF(CleanSalesData[[#This Row],[Units_Sold]]=0,0,CleanSalesData[[#This Row],[Corrected Revenue]]/CleanSalesData[[#This Row],[Units_Sold]])</f>
        <v>30</v>
      </c>
    </row>
    <row r="92" spans="1:10" x14ac:dyDescent="0.25">
      <c r="A92" t="s">
        <v>6</v>
      </c>
      <c r="B92" s="3">
        <v>46226</v>
      </c>
      <c r="C92" t="s">
        <v>9</v>
      </c>
      <c r="D92">
        <v>76</v>
      </c>
      <c r="E92">
        <v>2280</v>
      </c>
      <c r="F92">
        <v>3807</v>
      </c>
      <c r="G92">
        <v>2280</v>
      </c>
      <c r="H92" t="str">
        <f>IF(CleanSalesData[[#This Row],[Corrected Revenue]]&gt;CleanSalesData[[#This Row],[Target]], "Good Profit", "Low Profit"  )</f>
        <v>Low Profit</v>
      </c>
      <c r="I92" s="1">
        <f>(CleanSalesData[[#This Row],[Corrected Revenue]]/CleanSalesData[[#This Row],[Target]])</f>
        <v>0.59889676910953504</v>
      </c>
      <c r="J92" s="2">
        <f>IF(CleanSalesData[[#This Row],[Units_Sold]]=0,0,CleanSalesData[[#This Row],[Corrected Revenue]]/CleanSalesData[[#This Row],[Units_Sold]])</f>
        <v>30</v>
      </c>
    </row>
    <row r="93" spans="1:10" x14ac:dyDescent="0.25">
      <c r="A93" t="s">
        <v>6</v>
      </c>
      <c r="B93" s="3">
        <v>46226</v>
      </c>
      <c r="C93" t="s">
        <v>10</v>
      </c>
      <c r="D93">
        <v>149</v>
      </c>
      <c r="E93">
        <v>4470</v>
      </c>
      <c r="F93">
        <v>3955</v>
      </c>
      <c r="G93">
        <v>4470</v>
      </c>
      <c r="H93" t="str">
        <f>IF(CleanSalesData[[#This Row],[Corrected Revenue]]&gt;CleanSalesData[[#This Row],[Target]], "Good Profit", "Low Profit"  )</f>
        <v>Good Profit</v>
      </c>
      <c r="I93" s="1">
        <f>(CleanSalesData[[#This Row],[Corrected Revenue]]/CleanSalesData[[#This Row],[Target]])</f>
        <v>1.1302149178255374</v>
      </c>
      <c r="J93" s="2">
        <f>IF(CleanSalesData[[#This Row],[Units_Sold]]=0,0,CleanSalesData[[#This Row],[Corrected Revenue]]/CleanSalesData[[#This Row],[Units_Sold]])</f>
        <v>30</v>
      </c>
    </row>
    <row r="94" spans="1:10" x14ac:dyDescent="0.25">
      <c r="A94" t="s">
        <v>6</v>
      </c>
      <c r="B94" s="3">
        <v>46227</v>
      </c>
      <c r="C94" t="s">
        <v>7</v>
      </c>
      <c r="D94">
        <v>102</v>
      </c>
      <c r="E94">
        <v>3060</v>
      </c>
      <c r="F94">
        <v>2733</v>
      </c>
      <c r="G94">
        <v>3060</v>
      </c>
      <c r="H94" t="str">
        <f>IF(CleanSalesData[[#This Row],[Corrected Revenue]]&gt;CleanSalesData[[#This Row],[Target]], "Good Profit", "Low Profit"  )</f>
        <v>Good Profit</v>
      </c>
      <c r="I94" s="1">
        <f>(CleanSalesData[[#This Row],[Corrected Revenue]]/CleanSalesData[[#This Row],[Target]])</f>
        <v>1.119648737650933</v>
      </c>
      <c r="J94" s="2">
        <f>IF(CleanSalesData[[#This Row],[Units_Sold]]=0,0,CleanSalesData[[#This Row],[Corrected Revenue]]/CleanSalesData[[#This Row],[Units_Sold]])</f>
        <v>30</v>
      </c>
    </row>
    <row r="95" spans="1:10" x14ac:dyDescent="0.25">
      <c r="A95" t="s">
        <v>6</v>
      </c>
      <c r="B95" s="3">
        <v>46227</v>
      </c>
      <c r="C95" t="s">
        <v>8</v>
      </c>
      <c r="D95">
        <v>151</v>
      </c>
      <c r="E95">
        <v>4530</v>
      </c>
      <c r="F95">
        <v>3468</v>
      </c>
      <c r="G95">
        <v>4530</v>
      </c>
      <c r="H95" t="str">
        <f>IF(CleanSalesData[[#This Row],[Corrected Revenue]]&gt;CleanSalesData[[#This Row],[Target]], "Good Profit", "Low Profit"  )</f>
        <v>Good Profit</v>
      </c>
      <c r="I95" s="1">
        <f>(CleanSalesData[[#This Row],[Corrected Revenue]]/CleanSalesData[[#This Row],[Target]])</f>
        <v>1.3062283737024221</v>
      </c>
      <c r="J95" s="2">
        <f>IF(CleanSalesData[[#This Row],[Units_Sold]]=0,0,CleanSalesData[[#This Row],[Corrected Revenue]]/CleanSalesData[[#This Row],[Units_Sold]])</f>
        <v>30</v>
      </c>
    </row>
    <row r="96" spans="1:10" x14ac:dyDescent="0.25">
      <c r="A96" t="s">
        <v>6</v>
      </c>
      <c r="B96" s="3">
        <v>46227</v>
      </c>
      <c r="C96" t="s">
        <v>9</v>
      </c>
      <c r="D96">
        <v>196</v>
      </c>
      <c r="E96">
        <v>5880</v>
      </c>
      <c r="F96">
        <v>3252</v>
      </c>
      <c r="G96">
        <v>5880</v>
      </c>
      <c r="H96" t="str">
        <f>IF(CleanSalesData[[#This Row],[Corrected Revenue]]&gt;CleanSalesData[[#This Row],[Target]], "Good Profit", "Low Profit"  )</f>
        <v>Good Profit</v>
      </c>
      <c r="I96" s="1">
        <f>(CleanSalesData[[#This Row],[Corrected Revenue]]/CleanSalesData[[#This Row],[Target]])</f>
        <v>1.8081180811808117</v>
      </c>
      <c r="J96" s="2">
        <f>IF(CleanSalesData[[#This Row],[Units_Sold]]=0,0,CleanSalesData[[#This Row],[Corrected Revenue]]/CleanSalesData[[#This Row],[Units_Sold]])</f>
        <v>30</v>
      </c>
    </row>
    <row r="97" spans="1:10" x14ac:dyDescent="0.25">
      <c r="A97" t="s">
        <v>6</v>
      </c>
      <c r="B97" s="3">
        <v>46227</v>
      </c>
      <c r="C97" t="s">
        <v>10</v>
      </c>
      <c r="D97">
        <v>155</v>
      </c>
      <c r="E97">
        <v>4650</v>
      </c>
      <c r="F97">
        <v>3655</v>
      </c>
      <c r="G97">
        <v>4650</v>
      </c>
      <c r="H97" t="str">
        <f>IF(CleanSalesData[[#This Row],[Corrected Revenue]]&gt;CleanSalesData[[#This Row],[Target]], "Good Profit", "Low Profit"  )</f>
        <v>Good Profit</v>
      </c>
      <c r="I97" s="1">
        <f>(CleanSalesData[[#This Row],[Corrected Revenue]]/CleanSalesData[[#This Row],[Target]])</f>
        <v>1.2722298221614228</v>
      </c>
      <c r="J97" s="2">
        <f>IF(CleanSalesData[[#This Row],[Units_Sold]]=0,0,CleanSalesData[[#This Row],[Corrected Revenue]]/CleanSalesData[[#This Row],[Units_Sold]])</f>
        <v>30</v>
      </c>
    </row>
    <row r="98" spans="1:10" x14ac:dyDescent="0.25">
      <c r="A98" t="s">
        <v>6</v>
      </c>
      <c r="B98" s="3">
        <v>46228</v>
      </c>
      <c r="C98" t="s">
        <v>7</v>
      </c>
      <c r="D98">
        <v>121</v>
      </c>
      <c r="E98">
        <v>3630</v>
      </c>
      <c r="F98">
        <v>2688</v>
      </c>
      <c r="G98">
        <v>3630</v>
      </c>
      <c r="H98" t="str">
        <f>IF(CleanSalesData[[#This Row],[Corrected Revenue]]&gt;CleanSalesData[[#This Row],[Target]], "Good Profit", "Low Profit"  )</f>
        <v>Good Profit</v>
      </c>
      <c r="I98" s="1">
        <f>(CleanSalesData[[#This Row],[Corrected Revenue]]/CleanSalesData[[#This Row],[Target]])</f>
        <v>1.3504464285714286</v>
      </c>
      <c r="J98" s="2">
        <f>IF(CleanSalesData[[#This Row],[Units_Sold]]=0,0,CleanSalesData[[#This Row],[Corrected Revenue]]/CleanSalesData[[#This Row],[Units_Sold]])</f>
        <v>30</v>
      </c>
    </row>
    <row r="99" spans="1:10" x14ac:dyDescent="0.25">
      <c r="A99" t="s">
        <v>6</v>
      </c>
      <c r="B99" s="3">
        <v>46228</v>
      </c>
      <c r="C99" t="s">
        <v>8</v>
      </c>
      <c r="D99">
        <v>100</v>
      </c>
      <c r="E99">
        <v>3000</v>
      </c>
      <c r="F99">
        <v>5278</v>
      </c>
      <c r="G99">
        <v>3000</v>
      </c>
      <c r="H99" t="str">
        <f>IF(CleanSalesData[[#This Row],[Corrected Revenue]]&gt;CleanSalesData[[#This Row],[Target]], "Good Profit", "Low Profit"  )</f>
        <v>Low Profit</v>
      </c>
      <c r="I99" s="1">
        <f>(CleanSalesData[[#This Row],[Corrected Revenue]]/CleanSalesData[[#This Row],[Target]])</f>
        <v>0.56839712012125809</v>
      </c>
      <c r="J99" s="2">
        <f>IF(CleanSalesData[[#This Row],[Units_Sold]]=0,0,CleanSalesData[[#This Row],[Corrected Revenue]]/CleanSalesData[[#This Row],[Units_Sold]])</f>
        <v>30</v>
      </c>
    </row>
    <row r="100" spans="1:10" x14ac:dyDescent="0.25">
      <c r="A100" t="s">
        <v>6</v>
      </c>
      <c r="B100" s="3">
        <v>46228</v>
      </c>
      <c r="C100" t="s">
        <v>9</v>
      </c>
      <c r="D100">
        <v>82</v>
      </c>
      <c r="E100">
        <v>2460</v>
      </c>
      <c r="F100">
        <v>4907</v>
      </c>
      <c r="G100">
        <v>2460</v>
      </c>
      <c r="H100" t="str">
        <f>IF(CleanSalesData[[#This Row],[Corrected Revenue]]&gt;CleanSalesData[[#This Row],[Target]], "Good Profit", "Low Profit"  )</f>
        <v>Low Profit</v>
      </c>
      <c r="I100" s="1">
        <f>(CleanSalesData[[#This Row],[Corrected Revenue]]/CleanSalesData[[#This Row],[Target]])</f>
        <v>0.50132463827185658</v>
      </c>
      <c r="J100" s="2">
        <f>IF(CleanSalesData[[#This Row],[Units_Sold]]=0,0,CleanSalesData[[#This Row],[Corrected Revenue]]/CleanSalesData[[#This Row],[Units_Sold]])</f>
        <v>30</v>
      </c>
    </row>
    <row r="101" spans="1:10" x14ac:dyDescent="0.25">
      <c r="A101" t="s">
        <v>6</v>
      </c>
      <c r="B101" s="3">
        <v>46228</v>
      </c>
      <c r="C101" t="s">
        <v>10</v>
      </c>
      <c r="D101">
        <v>156</v>
      </c>
      <c r="E101">
        <v>4680</v>
      </c>
      <c r="F101">
        <v>5627</v>
      </c>
      <c r="G101">
        <v>4680</v>
      </c>
      <c r="H101" t="str">
        <f>IF(CleanSalesData[[#This Row],[Corrected Revenue]]&gt;CleanSalesData[[#This Row],[Target]], "Good Profit", "Low Profit"  )</f>
        <v>Low Profit</v>
      </c>
      <c r="I101" s="1">
        <f>(CleanSalesData[[#This Row],[Corrected Revenue]]/CleanSalesData[[#This Row],[Target]])</f>
        <v>0.8317042829216279</v>
      </c>
      <c r="J101" s="2">
        <f>IF(CleanSalesData[[#This Row],[Units_Sold]]=0,0,CleanSalesData[[#This Row],[Corrected Revenue]]/CleanSalesData[[#This Row],[Units_Sold]])</f>
        <v>30</v>
      </c>
    </row>
    <row r="102" spans="1:10" x14ac:dyDescent="0.25">
      <c r="A102" t="s">
        <v>6</v>
      </c>
      <c r="B102" s="3">
        <v>46229</v>
      </c>
      <c r="C102" t="s">
        <v>7</v>
      </c>
      <c r="D102">
        <v>191</v>
      </c>
      <c r="E102">
        <v>5730</v>
      </c>
      <c r="F102">
        <v>4353</v>
      </c>
      <c r="G102">
        <v>5730</v>
      </c>
      <c r="H102" t="str">
        <f>IF(CleanSalesData[[#This Row],[Corrected Revenue]]&gt;CleanSalesData[[#This Row],[Target]], "Good Profit", "Low Profit"  )</f>
        <v>Good Profit</v>
      </c>
      <c r="I102" s="1">
        <f>(CleanSalesData[[#This Row],[Corrected Revenue]]/CleanSalesData[[#This Row],[Target]])</f>
        <v>1.3163335630599586</v>
      </c>
      <c r="J102" s="2">
        <f>IF(CleanSalesData[[#This Row],[Units_Sold]]=0,0,CleanSalesData[[#This Row],[Corrected Revenue]]/CleanSalesData[[#This Row],[Units_Sold]])</f>
        <v>30</v>
      </c>
    </row>
    <row r="103" spans="1:10" x14ac:dyDescent="0.25">
      <c r="A103" t="s">
        <v>6</v>
      </c>
      <c r="B103" s="3">
        <v>46229</v>
      </c>
      <c r="C103" t="s">
        <v>8</v>
      </c>
      <c r="D103">
        <v>178</v>
      </c>
      <c r="E103">
        <v>5340</v>
      </c>
      <c r="F103">
        <v>5738</v>
      </c>
      <c r="G103">
        <v>5340</v>
      </c>
      <c r="H103" t="str">
        <f>IF(CleanSalesData[[#This Row],[Corrected Revenue]]&gt;CleanSalesData[[#This Row],[Target]], "Good Profit", "Low Profit"  )</f>
        <v>Low Profit</v>
      </c>
      <c r="I103" s="1">
        <f>(CleanSalesData[[#This Row],[Corrected Revenue]]/CleanSalesData[[#This Row],[Target]])</f>
        <v>0.93063785291042178</v>
      </c>
      <c r="J103" s="2">
        <f>IF(CleanSalesData[[#This Row],[Units_Sold]]=0,0,CleanSalesData[[#This Row],[Corrected Revenue]]/CleanSalesData[[#This Row],[Units_Sold]])</f>
        <v>30</v>
      </c>
    </row>
    <row r="104" spans="1:10" x14ac:dyDescent="0.25">
      <c r="A104" t="s">
        <v>6</v>
      </c>
      <c r="B104" s="3">
        <v>46229</v>
      </c>
      <c r="C104" t="s">
        <v>9</v>
      </c>
      <c r="D104">
        <v>112</v>
      </c>
      <c r="E104">
        <v>3360</v>
      </c>
      <c r="F104">
        <v>3102</v>
      </c>
      <c r="G104">
        <v>3360</v>
      </c>
      <c r="H104" t="str">
        <f>IF(CleanSalesData[[#This Row],[Corrected Revenue]]&gt;CleanSalesData[[#This Row],[Target]], "Good Profit", "Low Profit"  )</f>
        <v>Good Profit</v>
      </c>
      <c r="I104" s="1">
        <f>(CleanSalesData[[#This Row],[Corrected Revenue]]/CleanSalesData[[#This Row],[Target]])</f>
        <v>1.0831721470019342</v>
      </c>
      <c r="J104" s="2">
        <f>IF(CleanSalesData[[#This Row],[Units_Sold]]=0,0,CleanSalesData[[#This Row],[Corrected Revenue]]/CleanSalesData[[#This Row],[Units_Sold]])</f>
        <v>30</v>
      </c>
    </row>
    <row r="105" spans="1:10" x14ac:dyDescent="0.25">
      <c r="A105" t="s">
        <v>6</v>
      </c>
      <c r="B105" s="3">
        <v>46229</v>
      </c>
      <c r="C105" t="s">
        <v>10</v>
      </c>
      <c r="D105">
        <v>139</v>
      </c>
      <c r="E105">
        <v>4170</v>
      </c>
      <c r="F105">
        <v>2912</v>
      </c>
      <c r="G105">
        <v>4170</v>
      </c>
      <c r="H105" t="str">
        <f>IF(CleanSalesData[[#This Row],[Corrected Revenue]]&gt;CleanSalesData[[#This Row],[Target]], "Good Profit", "Low Profit"  )</f>
        <v>Good Profit</v>
      </c>
      <c r="I105" s="1">
        <f>(CleanSalesData[[#This Row],[Corrected Revenue]]/CleanSalesData[[#This Row],[Target]])</f>
        <v>1.4320054945054945</v>
      </c>
      <c r="J105" s="2">
        <f>IF(CleanSalesData[[#This Row],[Units_Sold]]=0,0,CleanSalesData[[#This Row],[Corrected Revenue]]/CleanSalesData[[#This Row],[Units_Sold]])</f>
        <v>30</v>
      </c>
    </row>
    <row r="106" spans="1:10" x14ac:dyDescent="0.25">
      <c r="A106" t="s">
        <v>6</v>
      </c>
      <c r="B106" s="3">
        <v>46230</v>
      </c>
      <c r="C106" t="s">
        <v>7</v>
      </c>
      <c r="D106">
        <v>137</v>
      </c>
      <c r="E106">
        <v>4110</v>
      </c>
      <c r="F106">
        <v>4463</v>
      </c>
      <c r="G106">
        <v>4110</v>
      </c>
      <c r="H106" t="str">
        <f>IF(CleanSalesData[[#This Row],[Corrected Revenue]]&gt;CleanSalesData[[#This Row],[Target]], "Good Profit", "Low Profit"  )</f>
        <v>Low Profit</v>
      </c>
      <c r="I106" s="1">
        <f>(CleanSalesData[[#This Row],[Corrected Revenue]]/CleanSalesData[[#This Row],[Target]])</f>
        <v>0.92090522070356262</v>
      </c>
      <c r="J106" s="2">
        <f>IF(CleanSalesData[[#This Row],[Units_Sold]]=0,0,CleanSalesData[[#This Row],[Corrected Revenue]]/CleanSalesData[[#This Row],[Units_Sold]])</f>
        <v>30</v>
      </c>
    </row>
    <row r="107" spans="1:10" x14ac:dyDescent="0.25">
      <c r="A107" t="s">
        <v>6</v>
      </c>
      <c r="B107" s="3">
        <v>46230</v>
      </c>
      <c r="C107" t="s">
        <v>8</v>
      </c>
      <c r="D107">
        <v>145</v>
      </c>
      <c r="E107">
        <v>4350</v>
      </c>
      <c r="F107">
        <v>3601</v>
      </c>
      <c r="G107">
        <v>4350</v>
      </c>
      <c r="H107" t="str">
        <f>IF(CleanSalesData[[#This Row],[Corrected Revenue]]&gt;CleanSalesData[[#This Row],[Target]], "Good Profit", "Low Profit"  )</f>
        <v>Good Profit</v>
      </c>
      <c r="I107" s="1">
        <f>(CleanSalesData[[#This Row],[Corrected Revenue]]/CleanSalesData[[#This Row],[Target]])</f>
        <v>1.2079977783948903</v>
      </c>
      <c r="J107" s="2">
        <f>IF(CleanSalesData[[#This Row],[Units_Sold]]=0,0,CleanSalesData[[#This Row],[Corrected Revenue]]/CleanSalesData[[#This Row],[Units_Sold]])</f>
        <v>30</v>
      </c>
    </row>
    <row r="108" spans="1:10" x14ac:dyDescent="0.25">
      <c r="A108" t="s">
        <v>6</v>
      </c>
      <c r="B108" s="3">
        <v>46230</v>
      </c>
      <c r="C108" t="s">
        <v>9</v>
      </c>
      <c r="D108">
        <v>165</v>
      </c>
      <c r="E108">
        <v>4950</v>
      </c>
      <c r="F108">
        <v>3389</v>
      </c>
      <c r="G108">
        <v>4950</v>
      </c>
      <c r="H108" t="str">
        <f>IF(CleanSalesData[[#This Row],[Corrected Revenue]]&gt;CleanSalesData[[#This Row],[Target]], "Good Profit", "Low Profit"  )</f>
        <v>Good Profit</v>
      </c>
      <c r="I108" s="1">
        <f>(CleanSalesData[[#This Row],[Corrected Revenue]]/CleanSalesData[[#This Row],[Target]])</f>
        <v>1.4606078489229861</v>
      </c>
      <c r="J108" s="2">
        <f>IF(CleanSalesData[[#This Row],[Units_Sold]]=0,0,CleanSalesData[[#This Row],[Corrected Revenue]]/CleanSalesData[[#This Row],[Units_Sold]])</f>
        <v>30</v>
      </c>
    </row>
    <row r="109" spans="1:10" x14ac:dyDescent="0.25">
      <c r="A109" t="s">
        <v>6</v>
      </c>
      <c r="B109" s="3">
        <v>46230</v>
      </c>
      <c r="C109" t="s">
        <v>10</v>
      </c>
      <c r="D109">
        <v>182</v>
      </c>
      <c r="E109">
        <v>5460</v>
      </c>
      <c r="F109">
        <v>3378</v>
      </c>
      <c r="G109">
        <v>5460</v>
      </c>
      <c r="H109" t="str">
        <f>IF(CleanSalesData[[#This Row],[Corrected Revenue]]&gt;CleanSalesData[[#This Row],[Target]], "Good Profit", "Low Profit"  )</f>
        <v>Good Profit</v>
      </c>
      <c r="I109" s="1">
        <f>(CleanSalesData[[#This Row],[Corrected Revenue]]/CleanSalesData[[#This Row],[Target]])</f>
        <v>1.6163410301953818</v>
      </c>
      <c r="J109" s="2">
        <f>IF(CleanSalesData[[#This Row],[Units_Sold]]=0,0,CleanSalesData[[#This Row],[Corrected Revenue]]/CleanSalesData[[#This Row],[Units_Sold]])</f>
        <v>30</v>
      </c>
    </row>
    <row r="110" spans="1:10" x14ac:dyDescent="0.25">
      <c r="A110" t="s">
        <v>6</v>
      </c>
      <c r="B110" s="3">
        <v>46231</v>
      </c>
      <c r="C110" t="s">
        <v>7</v>
      </c>
      <c r="D110">
        <v>182</v>
      </c>
      <c r="E110">
        <v>5460</v>
      </c>
      <c r="F110">
        <v>5192</v>
      </c>
      <c r="G110">
        <v>5460</v>
      </c>
      <c r="H110" t="str">
        <f>IF(CleanSalesData[[#This Row],[Corrected Revenue]]&gt;CleanSalesData[[#This Row],[Target]], "Good Profit", "Low Profit"  )</f>
        <v>Good Profit</v>
      </c>
      <c r="I110" s="1">
        <f>(CleanSalesData[[#This Row],[Corrected Revenue]]/CleanSalesData[[#This Row],[Target]])</f>
        <v>1.0516178736517721</v>
      </c>
      <c r="J110" s="2">
        <f>IF(CleanSalesData[[#This Row],[Units_Sold]]=0,0,CleanSalesData[[#This Row],[Corrected Revenue]]/CleanSalesData[[#This Row],[Units_Sold]])</f>
        <v>30</v>
      </c>
    </row>
    <row r="111" spans="1:10" x14ac:dyDescent="0.25">
      <c r="A111" t="s">
        <v>6</v>
      </c>
      <c r="B111" s="3">
        <v>46231</v>
      </c>
      <c r="C111" t="s">
        <v>8</v>
      </c>
      <c r="D111">
        <v>171</v>
      </c>
      <c r="E111">
        <v>5130</v>
      </c>
      <c r="F111">
        <v>5481</v>
      </c>
      <c r="G111">
        <v>5130</v>
      </c>
      <c r="H111" t="str">
        <f>IF(CleanSalesData[[#This Row],[Corrected Revenue]]&gt;CleanSalesData[[#This Row],[Target]], "Good Profit", "Low Profit"  )</f>
        <v>Low Profit</v>
      </c>
      <c r="I111" s="1">
        <f>(CleanSalesData[[#This Row],[Corrected Revenue]]/CleanSalesData[[#This Row],[Target]])</f>
        <v>0.93596059113300489</v>
      </c>
      <c r="J111" s="2">
        <f>IF(CleanSalesData[[#This Row],[Units_Sold]]=0,0,CleanSalesData[[#This Row],[Corrected Revenue]]/CleanSalesData[[#This Row],[Units_Sold]])</f>
        <v>30</v>
      </c>
    </row>
    <row r="112" spans="1:10" x14ac:dyDescent="0.25">
      <c r="A112" t="s">
        <v>6</v>
      </c>
      <c r="B112" s="3">
        <v>46231</v>
      </c>
      <c r="C112" t="s">
        <v>9</v>
      </c>
      <c r="D112">
        <v>70</v>
      </c>
      <c r="E112">
        <v>2100</v>
      </c>
      <c r="F112">
        <v>3555</v>
      </c>
      <c r="G112">
        <v>2100</v>
      </c>
      <c r="H112" t="str">
        <f>IF(CleanSalesData[[#This Row],[Corrected Revenue]]&gt;CleanSalesData[[#This Row],[Target]], "Good Profit", "Low Profit"  )</f>
        <v>Low Profit</v>
      </c>
      <c r="I112" s="1">
        <f>(CleanSalesData[[#This Row],[Corrected Revenue]]/CleanSalesData[[#This Row],[Target]])</f>
        <v>0.59071729957805907</v>
      </c>
      <c r="J112" s="2">
        <f>IF(CleanSalesData[[#This Row],[Units_Sold]]=0,0,CleanSalesData[[#This Row],[Corrected Revenue]]/CleanSalesData[[#This Row],[Units_Sold]])</f>
        <v>30</v>
      </c>
    </row>
    <row r="113" spans="1:10" x14ac:dyDescent="0.25">
      <c r="A113" t="s">
        <v>6</v>
      </c>
      <c r="B113" s="3">
        <v>46231</v>
      </c>
      <c r="C113" t="s">
        <v>10</v>
      </c>
      <c r="D113">
        <v>192</v>
      </c>
      <c r="E113">
        <v>5760</v>
      </c>
      <c r="F113">
        <v>5364</v>
      </c>
      <c r="G113">
        <v>5760</v>
      </c>
      <c r="H113" t="str">
        <f>IF(CleanSalesData[[#This Row],[Corrected Revenue]]&gt;CleanSalesData[[#This Row],[Target]], "Good Profit", "Low Profit"  )</f>
        <v>Good Profit</v>
      </c>
      <c r="I113" s="1">
        <f>(CleanSalesData[[#This Row],[Corrected Revenue]]/CleanSalesData[[#This Row],[Target]])</f>
        <v>1.0738255033557047</v>
      </c>
      <c r="J113" s="2">
        <f>IF(CleanSalesData[[#This Row],[Units_Sold]]=0,0,CleanSalesData[[#This Row],[Corrected Revenue]]/CleanSalesData[[#This Row],[Units_Sold]])</f>
        <v>30</v>
      </c>
    </row>
    <row r="114" spans="1:10" x14ac:dyDescent="0.25">
      <c r="A114" t="s">
        <v>6</v>
      </c>
      <c r="B114" s="3">
        <v>46232</v>
      </c>
      <c r="C114" t="s">
        <v>7</v>
      </c>
      <c r="D114">
        <v>129</v>
      </c>
      <c r="E114">
        <v>3870</v>
      </c>
      <c r="F114">
        <v>4641</v>
      </c>
      <c r="G114">
        <v>3870</v>
      </c>
      <c r="H114" t="str">
        <f>IF(CleanSalesData[[#This Row],[Corrected Revenue]]&gt;CleanSalesData[[#This Row],[Target]], "Good Profit", "Low Profit"  )</f>
        <v>Low Profit</v>
      </c>
      <c r="I114" s="1">
        <f>(CleanSalesData[[#This Row],[Corrected Revenue]]/CleanSalesData[[#This Row],[Target]])</f>
        <v>0.83387201034259861</v>
      </c>
      <c r="J114" s="2">
        <f>IF(CleanSalesData[[#This Row],[Units_Sold]]=0,0,CleanSalesData[[#This Row],[Corrected Revenue]]/CleanSalesData[[#This Row],[Units_Sold]])</f>
        <v>30</v>
      </c>
    </row>
    <row r="115" spans="1:10" x14ac:dyDescent="0.25">
      <c r="A115" t="s">
        <v>6</v>
      </c>
      <c r="B115" s="3">
        <v>46232</v>
      </c>
      <c r="C115" t="s">
        <v>8</v>
      </c>
      <c r="D115">
        <v>128</v>
      </c>
      <c r="E115">
        <v>3840</v>
      </c>
      <c r="F115">
        <v>4631</v>
      </c>
      <c r="G115">
        <v>3840</v>
      </c>
      <c r="H115" t="str">
        <f>IF(CleanSalesData[[#This Row],[Corrected Revenue]]&gt;CleanSalesData[[#This Row],[Target]], "Good Profit", "Low Profit"  )</f>
        <v>Low Profit</v>
      </c>
      <c r="I115" s="1">
        <f>(CleanSalesData[[#This Row],[Corrected Revenue]]/CleanSalesData[[#This Row],[Target]])</f>
        <v>0.82919455841071044</v>
      </c>
      <c r="J115" s="2">
        <f>IF(CleanSalesData[[#This Row],[Units_Sold]]=0,0,CleanSalesData[[#This Row],[Corrected Revenue]]/CleanSalesData[[#This Row],[Units_Sold]])</f>
        <v>30</v>
      </c>
    </row>
    <row r="116" spans="1:10" x14ac:dyDescent="0.25">
      <c r="A116" t="s">
        <v>6</v>
      </c>
      <c r="B116" s="3">
        <v>46232</v>
      </c>
      <c r="C116" t="s">
        <v>9</v>
      </c>
      <c r="D116">
        <v>152</v>
      </c>
      <c r="E116">
        <v>4560</v>
      </c>
      <c r="F116">
        <v>4542</v>
      </c>
      <c r="G116">
        <v>4560</v>
      </c>
      <c r="H116" t="str">
        <f>IF(CleanSalesData[[#This Row],[Corrected Revenue]]&gt;CleanSalesData[[#This Row],[Target]], "Good Profit", "Low Profit"  )</f>
        <v>Good Profit</v>
      </c>
      <c r="I116" s="1">
        <f>(CleanSalesData[[#This Row],[Corrected Revenue]]/CleanSalesData[[#This Row],[Target]])</f>
        <v>1.0039630118890357</v>
      </c>
      <c r="J116" s="2">
        <f>IF(CleanSalesData[[#This Row],[Units_Sold]]=0,0,CleanSalesData[[#This Row],[Corrected Revenue]]/CleanSalesData[[#This Row],[Units_Sold]])</f>
        <v>30</v>
      </c>
    </row>
    <row r="117" spans="1:10" x14ac:dyDescent="0.25">
      <c r="A117" t="s">
        <v>6</v>
      </c>
      <c r="B117" s="3">
        <v>46232</v>
      </c>
      <c r="C117" t="s">
        <v>10</v>
      </c>
      <c r="D117">
        <v>157</v>
      </c>
      <c r="E117">
        <v>4710</v>
      </c>
      <c r="F117">
        <v>4448</v>
      </c>
      <c r="G117">
        <v>4710</v>
      </c>
      <c r="H117" t="str">
        <f>IF(CleanSalesData[[#This Row],[Corrected Revenue]]&gt;CleanSalesData[[#This Row],[Target]], "Good Profit", "Low Profit"  )</f>
        <v>Good Profit</v>
      </c>
      <c r="I117" s="1">
        <f>(CleanSalesData[[#This Row],[Corrected Revenue]]/CleanSalesData[[#This Row],[Target]])</f>
        <v>1.0589028776978417</v>
      </c>
      <c r="J117" s="2">
        <f>IF(CleanSalesData[[#This Row],[Units_Sold]]=0,0,CleanSalesData[[#This Row],[Corrected Revenue]]/CleanSalesData[[#This Row],[Units_Sold]])</f>
        <v>30</v>
      </c>
    </row>
    <row r="118" spans="1:10" x14ac:dyDescent="0.25">
      <c r="A118" t="s">
        <v>6</v>
      </c>
      <c r="B118" s="3">
        <v>46233</v>
      </c>
      <c r="C118" t="s">
        <v>7</v>
      </c>
      <c r="D118">
        <v>174</v>
      </c>
      <c r="E118">
        <v>5220</v>
      </c>
      <c r="F118">
        <v>3276</v>
      </c>
      <c r="G118">
        <v>5220</v>
      </c>
      <c r="H118" t="str">
        <f>IF(CleanSalesData[[#This Row],[Corrected Revenue]]&gt;CleanSalesData[[#This Row],[Target]], "Good Profit", "Low Profit"  )</f>
        <v>Good Profit</v>
      </c>
      <c r="I118" s="1">
        <f>(CleanSalesData[[#This Row],[Corrected Revenue]]/CleanSalesData[[#This Row],[Target]])</f>
        <v>1.5934065934065933</v>
      </c>
      <c r="J118" s="2">
        <f>IF(CleanSalesData[[#This Row],[Units_Sold]]=0,0,CleanSalesData[[#This Row],[Corrected Revenue]]/CleanSalesData[[#This Row],[Units_Sold]])</f>
        <v>30</v>
      </c>
    </row>
    <row r="119" spans="1:10" x14ac:dyDescent="0.25">
      <c r="A119" t="s">
        <v>6</v>
      </c>
      <c r="B119" s="3">
        <v>46233</v>
      </c>
      <c r="C119" t="s">
        <v>8</v>
      </c>
      <c r="D119">
        <v>111</v>
      </c>
      <c r="E119">
        <v>3330</v>
      </c>
      <c r="F119">
        <v>2771</v>
      </c>
      <c r="G119">
        <v>3330</v>
      </c>
      <c r="H119" t="str">
        <f>IF(CleanSalesData[[#This Row],[Corrected Revenue]]&gt;CleanSalesData[[#This Row],[Target]], "Good Profit", "Low Profit"  )</f>
        <v>Good Profit</v>
      </c>
      <c r="I119" s="1">
        <f>(CleanSalesData[[#This Row],[Corrected Revenue]]/CleanSalesData[[#This Row],[Target]])</f>
        <v>1.2017322266329844</v>
      </c>
      <c r="J119" s="2">
        <f>IF(CleanSalesData[[#This Row],[Units_Sold]]=0,0,CleanSalesData[[#This Row],[Corrected Revenue]]/CleanSalesData[[#This Row],[Units_Sold]])</f>
        <v>30</v>
      </c>
    </row>
    <row r="120" spans="1:10" x14ac:dyDescent="0.25">
      <c r="A120" t="s">
        <v>6</v>
      </c>
      <c r="B120" s="3">
        <v>46233</v>
      </c>
      <c r="C120" t="s">
        <v>9</v>
      </c>
      <c r="D120">
        <v>95</v>
      </c>
      <c r="E120">
        <v>2850</v>
      </c>
      <c r="F120">
        <v>5588</v>
      </c>
      <c r="G120">
        <v>2850</v>
      </c>
      <c r="H120" t="str">
        <f>IF(CleanSalesData[[#This Row],[Corrected Revenue]]&gt;CleanSalesData[[#This Row],[Target]], "Good Profit", "Low Profit"  )</f>
        <v>Low Profit</v>
      </c>
      <c r="I120" s="1">
        <f>(CleanSalesData[[#This Row],[Corrected Revenue]]/CleanSalesData[[#This Row],[Target]])</f>
        <v>0.51002147458840374</v>
      </c>
      <c r="J120" s="2">
        <f>IF(CleanSalesData[[#This Row],[Units_Sold]]=0,0,CleanSalesData[[#This Row],[Corrected Revenue]]/CleanSalesData[[#This Row],[Units_Sold]])</f>
        <v>30</v>
      </c>
    </row>
    <row r="121" spans="1:10" x14ac:dyDescent="0.25">
      <c r="A121" t="s">
        <v>6</v>
      </c>
      <c r="B121" s="3">
        <v>46233</v>
      </c>
      <c r="C121" t="s">
        <v>10</v>
      </c>
      <c r="D121">
        <v>106</v>
      </c>
      <c r="E121">
        <v>3180</v>
      </c>
      <c r="F121">
        <v>3468</v>
      </c>
      <c r="G121">
        <v>3180</v>
      </c>
      <c r="H121" t="str">
        <f>IF(CleanSalesData[[#This Row],[Corrected Revenue]]&gt;CleanSalesData[[#This Row],[Target]], "Good Profit", "Low Profit"  )</f>
        <v>Low Profit</v>
      </c>
      <c r="I121" s="1">
        <f>(CleanSalesData[[#This Row],[Corrected Revenue]]/CleanSalesData[[#This Row],[Target]])</f>
        <v>0.91695501730103801</v>
      </c>
      <c r="J121" s="2">
        <f>IF(CleanSalesData[[#This Row],[Units_Sold]]=0,0,CleanSalesData[[#This Row],[Corrected Revenue]]/CleanSalesData[[#This Row],[Units_Sold]])</f>
        <v>30</v>
      </c>
    </row>
    <row r="122" spans="1:10" x14ac:dyDescent="0.25">
      <c r="A122" t="s">
        <v>6</v>
      </c>
      <c r="B122" s="3">
        <v>46234</v>
      </c>
      <c r="C122" t="s">
        <v>7</v>
      </c>
      <c r="D122">
        <v>175</v>
      </c>
      <c r="E122">
        <v>5250</v>
      </c>
      <c r="F122">
        <v>5043</v>
      </c>
      <c r="G122">
        <v>5250</v>
      </c>
      <c r="H122" t="str">
        <f>IF(CleanSalesData[[#This Row],[Corrected Revenue]]&gt;CleanSalesData[[#This Row],[Target]], "Good Profit", "Low Profit"  )</f>
        <v>Good Profit</v>
      </c>
      <c r="I122" s="1">
        <f>(CleanSalesData[[#This Row],[Corrected Revenue]]/CleanSalesData[[#This Row],[Target]])</f>
        <v>1.041046995835812</v>
      </c>
      <c r="J122" s="2">
        <f>IF(CleanSalesData[[#This Row],[Units_Sold]]=0,0,CleanSalesData[[#This Row],[Corrected Revenue]]/CleanSalesData[[#This Row],[Units_Sold]])</f>
        <v>30</v>
      </c>
    </row>
    <row r="123" spans="1:10" x14ac:dyDescent="0.25">
      <c r="A123" t="s">
        <v>6</v>
      </c>
      <c r="B123" s="3">
        <v>46234</v>
      </c>
      <c r="C123" t="s">
        <v>8</v>
      </c>
      <c r="D123">
        <v>181</v>
      </c>
      <c r="E123">
        <v>5430</v>
      </c>
      <c r="F123">
        <v>3625</v>
      </c>
      <c r="G123">
        <v>5430</v>
      </c>
      <c r="H123" t="str">
        <f>IF(CleanSalesData[[#This Row],[Corrected Revenue]]&gt;CleanSalesData[[#This Row],[Target]], "Good Profit", "Low Profit"  )</f>
        <v>Good Profit</v>
      </c>
      <c r="I123" s="1">
        <f>(CleanSalesData[[#This Row],[Corrected Revenue]]/CleanSalesData[[#This Row],[Target]])</f>
        <v>1.4979310344827585</v>
      </c>
      <c r="J123" s="2">
        <f>IF(CleanSalesData[[#This Row],[Units_Sold]]=0,0,CleanSalesData[[#This Row],[Corrected Revenue]]/CleanSalesData[[#This Row],[Units_Sold]])</f>
        <v>30</v>
      </c>
    </row>
    <row r="124" spans="1:10" x14ac:dyDescent="0.25">
      <c r="A124" t="s">
        <v>6</v>
      </c>
      <c r="B124" s="3">
        <v>46234</v>
      </c>
      <c r="C124" t="s">
        <v>9</v>
      </c>
      <c r="D124">
        <v>106</v>
      </c>
      <c r="E124">
        <v>3180</v>
      </c>
      <c r="F124">
        <v>3322</v>
      </c>
      <c r="G124">
        <v>3180</v>
      </c>
      <c r="H124" t="str">
        <f>IF(CleanSalesData[[#This Row],[Corrected Revenue]]&gt;CleanSalesData[[#This Row],[Target]], "Good Profit", "Low Profit"  )</f>
        <v>Low Profit</v>
      </c>
      <c r="I124" s="1">
        <f>(CleanSalesData[[#This Row],[Corrected Revenue]]/CleanSalesData[[#This Row],[Target]])</f>
        <v>0.95725466586393737</v>
      </c>
      <c r="J124" s="2">
        <f>IF(CleanSalesData[[#This Row],[Units_Sold]]=0,0,CleanSalesData[[#This Row],[Corrected Revenue]]/CleanSalesData[[#This Row],[Units_Sold]])</f>
        <v>30</v>
      </c>
    </row>
    <row r="125" spans="1:10" x14ac:dyDescent="0.25">
      <c r="A125" t="s">
        <v>6</v>
      </c>
      <c r="B125" s="3">
        <v>46234</v>
      </c>
      <c r="C125" t="s">
        <v>10</v>
      </c>
      <c r="D125">
        <v>133</v>
      </c>
      <c r="E125">
        <v>3990</v>
      </c>
      <c r="F125">
        <v>3985</v>
      </c>
      <c r="G125">
        <v>3990</v>
      </c>
      <c r="H125" t="str">
        <f>IF(CleanSalesData[[#This Row],[Corrected Revenue]]&gt;CleanSalesData[[#This Row],[Target]], "Good Profit", "Low Profit"  )</f>
        <v>Good Profit</v>
      </c>
      <c r="I125" s="1">
        <f>(CleanSalesData[[#This Row],[Corrected Revenue]]/CleanSalesData[[#This Row],[Target]])</f>
        <v>1.001254705144291</v>
      </c>
      <c r="J125" s="2">
        <f>IF(CleanSalesData[[#This Row],[Units_Sold]]=0,0,CleanSalesData[[#This Row],[Corrected Revenue]]/CleanSalesData[[#This Row],[Units_Sold]])</f>
        <v>30</v>
      </c>
    </row>
    <row r="126" spans="1:10" x14ac:dyDescent="0.25">
      <c r="A126" t="s">
        <v>11</v>
      </c>
      <c r="B126" s="3">
        <v>46204</v>
      </c>
      <c r="C126" t="s">
        <v>7</v>
      </c>
      <c r="D126">
        <v>0</v>
      </c>
      <c r="E126">
        <v>4500</v>
      </c>
      <c r="F126">
        <v>6783</v>
      </c>
      <c r="G126">
        <v>0</v>
      </c>
      <c r="H126" t="str">
        <f>IF(CleanSalesData[[#This Row],[Corrected Revenue]]&gt;CleanSalesData[[#This Row],[Target]], "Good Profit", "Low Profit"  )</f>
        <v>Low Profit</v>
      </c>
      <c r="I126" s="1">
        <f>(CleanSalesData[[#This Row],[Corrected Revenue]]/CleanSalesData[[#This Row],[Target]])</f>
        <v>0</v>
      </c>
      <c r="J126" s="2">
        <f>IF(CleanSalesData[[#This Row],[Units_Sold]]=0,0,CleanSalesData[[#This Row],[Corrected Revenue]]/CleanSalesData[[#This Row],[Units_Sold]])</f>
        <v>0</v>
      </c>
    </row>
    <row r="127" spans="1:10" x14ac:dyDescent="0.25">
      <c r="A127" t="s">
        <v>11</v>
      </c>
      <c r="B127" s="3">
        <v>46204</v>
      </c>
      <c r="C127" t="s">
        <v>8</v>
      </c>
      <c r="D127">
        <v>157</v>
      </c>
      <c r="E127">
        <v>4710</v>
      </c>
      <c r="F127">
        <v>6681</v>
      </c>
      <c r="G127">
        <v>4710</v>
      </c>
      <c r="H127" t="str">
        <f>IF(CleanSalesData[[#This Row],[Corrected Revenue]]&gt;CleanSalesData[[#This Row],[Target]], "Good Profit", "Low Profit"  )</f>
        <v>Low Profit</v>
      </c>
      <c r="I127" s="1">
        <f>(CleanSalesData[[#This Row],[Corrected Revenue]]/CleanSalesData[[#This Row],[Target]])</f>
        <v>0.70498428378985178</v>
      </c>
      <c r="J127" s="2">
        <f>IF(CleanSalesData[[#This Row],[Units_Sold]]=0,0,CleanSalesData[[#This Row],[Corrected Revenue]]/CleanSalesData[[#This Row],[Units_Sold]])</f>
        <v>30</v>
      </c>
    </row>
    <row r="128" spans="1:10" x14ac:dyDescent="0.25">
      <c r="A128" t="s">
        <v>11</v>
      </c>
      <c r="B128" s="3">
        <v>46204</v>
      </c>
      <c r="C128" t="s">
        <v>9</v>
      </c>
      <c r="D128">
        <v>149</v>
      </c>
      <c r="E128">
        <v>4470</v>
      </c>
      <c r="F128">
        <v>7252</v>
      </c>
      <c r="G128">
        <v>4470</v>
      </c>
      <c r="H128" t="str">
        <f>IF(CleanSalesData[[#This Row],[Corrected Revenue]]&gt;CleanSalesData[[#This Row],[Target]], "Good Profit", "Low Profit"  )</f>
        <v>Low Profit</v>
      </c>
      <c r="I128" s="1">
        <f>(CleanSalesData[[#This Row],[Corrected Revenue]]/CleanSalesData[[#This Row],[Target]])</f>
        <v>0.61638168781025926</v>
      </c>
      <c r="J128" s="2">
        <f>IF(CleanSalesData[[#This Row],[Units_Sold]]=0,0,CleanSalesData[[#This Row],[Corrected Revenue]]/CleanSalesData[[#This Row],[Units_Sold]])</f>
        <v>30</v>
      </c>
    </row>
    <row r="129" spans="1:10" x14ac:dyDescent="0.25">
      <c r="A129" t="s">
        <v>11</v>
      </c>
      <c r="B129" s="3">
        <v>46204</v>
      </c>
      <c r="C129" t="s">
        <v>10</v>
      </c>
      <c r="D129">
        <v>186</v>
      </c>
      <c r="E129">
        <v>5580</v>
      </c>
      <c r="F129">
        <v>7283</v>
      </c>
      <c r="G129">
        <v>5580</v>
      </c>
      <c r="H129" t="str">
        <f>IF(CleanSalesData[[#This Row],[Corrected Revenue]]&gt;CleanSalesData[[#This Row],[Target]], "Good Profit", "Low Profit"  )</f>
        <v>Low Profit</v>
      </c>
      <c r="I129" s="1">
        <f>(CleanSalesData[[#This Row],[Corrected Revenue]]/CleanSalesData[[#This Row],[Target]])</f>
        <v>0.76616778799945073</v>
      </c>
      <c r="J129" s="2">
        <f>IF(CleanSalesData[[#This Row],[Units_Sold]]=0,0,CleanSalesData[[#This Row],[Corrected Revenue]]/CleanSalesData[[#This Row],[Units_Sold]])</f>
        <v>30</v>
      </c>
    </row>
    <row r="130" spans="1:10" x14ac:dyDescent="0.25">
      <c r="A130" t="s">
        <v>11</v>
      </c>
      <c r="B130" s="3">
        <v>46205</v>
      </c>
      <c r="C130" t="s">
        <v>7</v>
      </c>
      <c r="D130">
        <v>121</v>
      </c>
      <c r="E130">
        <v>3630</v>
      </c>
      <c r="F130">
        <v>6412</v>
      </c>
      <c r="G130">
        <v>3630</v>
      </c>
      <c r="H130" t="str">
        <f>IF(CleanSalesData[[#This Row],[Corrected Revenue]]&gt;CleanSalesData[[#This Row],[Target]], "Good Profit", "Low Profit"  )</f>
        <v>Low Profit</v>
      </c>
      <c r="I130" s="1">
        <f>(CleanSalesData[[#This Row],[Corrected Revenue]]/CleanSalesData[[#This Row],[Target]])</f>
        <v>0.56612601372426696</v>
      </c>
      <c r="J130" s="2">
        <f>IF(CleanSalesData[[#This Row],[Units_Sold]]=0,0,CleanSalesData[[#This Row],[Corrected Revenue]]/CleanSalesData[[#This Row],[Units_Sold]])</f>
        <v>30</v>
      </c>
    </row>
    <row r="131" spans="1:10" x14ac:dyDescent="0.25">
      <c r="A131" t="s">
        <v>11</v>
      </c>
      <c r="B131" s="3">
        <v>46205</v>
      </c>
      <c r="C131" t="s">
        <v>8</v>
      </c>
      <c r="D131">
        <v>229</v>
      </c>
      <c r="E131">
        <v>6870</v>
      </c>
      <c r="F131">
        <v>7524</v>
      </c>
      <c r="G131">
        <v>6870</v>
      </c>
      <c r="H131" t="str">
        <f>IF(CleanSalesData[[#This Row],[Corrected Revenue]]&gt;CleanSalesData[[#This Row],[Target]], "Good Profit", "Low Profit"  )</f>
        <v>Low Profit</v>
      </c>
      <c r="I131" s="1">
        <f>(CleanSalesData[[#This Row],[Corrected Revenue]]/CleanSalesData[[#This Row],[Target]])</f>
        <v>0.91307814992025516</v>
      </c>
      <c r="J131" s="2">
        <f>IF(CleanSalesData[[#This Row],[Units_Sold]]=0,0,CleanSalesData[[#This Row],[Corrected Revenue]]/CleanSalesData[[#This Row],[Units_Sold]])</f>
        <v>30</v>
      </c>
    </row>
    <row r="132" spans="1:10" x14ac:dyDescent="0.25">
      <c r="A132" t="s">
        <v>11</v>
      </c>
      <c r="B132" s="3">
        <v>46205</v>
      </c>
      <c r="C132" t="s">
        <v>9</v>
      </c>
      <c r="D132">
        <v>0</v>
      </c>
      <c r="E132">
        <v>4500</v>
      </c>
      <c r="F132">
        <v>5914</v>
      </c>
      <c r="G132">
        <v>0</v>
      </c>
      <c r="H132" t="str">
        <f>IF(CleanSalesData[[#This Row],[Corrected Revenue]]&gt;CleanSalesData[[#This Row],[Target]], "Good Profit", "Low Profit"  )</f>
        <v>Low Profit</v>
      </c>
      <c r="I132" s="1">
        <f>(CleanSalesData[[#This Row],[Corrected Revenue]]/CleanSalesData[[#This Row],[Target]])</f>
        <v>0</v>
      </c>
      <c r="J132" s="2">
        <f>IF(CleanSalesData[[#This Row],[Units_Sold]]=0,0,CleanSalesData[[#This Row],[Corrected Revenue]]/CleanSalesData[[#This Row],[Units_Sold]])</f>
        <v>0</v>
      </c>
    </row>
    <row r="133" spans="1:10" x14ac:dyDescent="0.25">
      <c r="A133" t="s">
        <v>11</v>
      </c>
      <c r="B133" s="3">
        <v>46205</v>
      </c>
      <c r="C133" t="s">
        <v>10</v>
      </c>
      <c r="D133">
        <v>247</v>
      </c>
      <c r="E133">
        <v>7410</v>
      </c>
      <c r="F133">
        <v>4991</v>
      </c>
      <c r="G133">
        <v>7410</v>
      </c>
      <c r="H133" t="str">
        <f>IF(CleanSalesData[[#This Row],[Corrected Revenue]]&gt;CleanSalesData[[#This Row],[Target]], "Good Profit", "Low Profit"  )</f>
        <v>Good Profit</v>
      </c>
      <c r="I133" s="1">
        <f>(CleanSalesData[[#This Row],[Corrected Revenue]]/CleanSalesData[[#This Row],[Target]])</f>
        <v>1.4846724103386095</v>
      </c>
      <c r="J133" s="2">
        <f>IF(CleanSalesData[[#This Row],[Units_Sold]]=0,0,CleanSalesData[[#This Row],[Corrected Revenue]]/CleanSalesData[[#This Row],[Units_Sold]])</f>
        <v>30</v>
      </c>
    </row>
    <row r="134" spans="1:10" x14ac:dyDescent="0.25">
      <c r="A134" t="s">
        <v>11</v>
      </c>
      <c r="B134" s="3">
        <v>46206</v>
      </c>
      <c r="C134" t="s">
        <v>7</v>
      </c>
      <c r="D134">
        <v>149</v>
      </c>
      <c r="E134">
        <v>4470</v>
      </c>
      <c r="F134">
        <v>6683</v>
      </c>
      <c r="G134">
        <v>4470</v>
      </c>
      <c r="H134" t="str">
        <f>IF(CleanSalesData[[#This Row],[Corrected Revenue]]&gt;CleanSalesData[[#This Row],[Target]], "Good Profit", "Low Profit"  )</f>
        <v>Low Profit</v>
      </c>
      <c r="I134" s="1">
        <f>(CleanSalesData[[#This Row],[Corrected Revenue]]/CleanSalesData[[#This Row],[Target]])</f>
        <v>0.66886128983989224</v>
      </c>
      <c r="J134" s="2">
        <f>IF(CleanSalesData[[#This Row],[Units_Sold]]=0,0,CleanSalesData[[#This Row],[Corrected Revenue]]/CleanSalesData[[#This Row],[Units_Sold]])</f>
        <v>30</v>
      </c>
    </row>
    <row r="135" spans="1:10" x14ac:dyDescent="0.25">
      <c r="A135" t="s">
        <v>11</v>
      </c>
      <c r="B135" s="3">
        <v>46206</v>
      </c>
      <c r="C135" t="s">
        <v>8</v>
      </c>
      <c r="D135">
        <v>94</v>
      </c>
      <c r="E135">
        <v>2820</v>
      </c>
      <c r="F135">
        <v>6187</v>
      </c>
      <c r="G135">
        <v>2820</v>
      </c>
      <c r="H135" t="str">
        <f>IF(CleanSalesData[[#This Row],[Corrected Revenue]]&gt;CleanSalesData[[#This Row],[Target]], "Good Profit", "Low Profit"  )</f>
        <v>Low Profit</v>
      </c>
      <c r="I135" s="1">
        <f>(CleanSalesData[[#This Row],[Corrected Revenue]]/CleanSalesData[[#This Row],[Target]])</f>
        <v>0.45579440762889928</v>
      </c>
      <c r="J135" s="2">
        <f>IF(CleanSalesData[[#This Row],[Units_Sold]]=0,0,CleanSalesData[[#This Row],[Corrected Revenue]]/CleanSalesData[[#This Row],[Units_Sold]])</f>
        <v>30</v>
      </c>
    </row>
    <row r="136" spans="1:10" x14ac:dyDescent="0.25">
      <c r="A136" t="s">
        <v>11</v>
      </c>
      <c r="B136" s="3">
        <v>46206</v>
      </c>
      <c r="C136" t="s">
        <v>9</v>
      </c>
      <c r="D136">
        <v>179</v>
      </c>
      <c r="E136">
        <v>5370</v>
      </c>
      <c r="F136">
        <v>7602</v>
      </c>
      <c r="G136">
        <v>5370</v>
      </c>
      <c r="H136" t="str">
        <f>IF(CleanSalesData[[#This Row],[Corrected Revenue]]&gt;CleanSalesData[[#This Row],[Target]], "Good Profit", "Low Profit"  )</f>
        <v>Low Profit</v>
      </c>
      <c r="I136" s="1">
        <f>(CleanSalesData[[#This Row],[Corrected Revenue]]/CleanSalesData[[#This Row],[Target]])</f>
        <v>0.70639305445935285</v>
      </c>
      <c r="J136" s="2">
        <f>IF(CleanSalesData[[#This Row],[Units_Sold]]=0,0,CleanSalesData[[#This Row],[Corrected Revenue]]/CleanSalesData[[#This Row],[Units_Sold]])</f>
        <v>30</v>
      </c>
    </row>
    <row r="137" spans="1:10" x14ac:dyDescent="0.25">
      <c r="A137" t="s">
        <v>11</v>
      </c>
      <c r="B137" s="3">
        <v>46206</v>
      </c>
      <c r="C137" t="s">
        <v>10</v>
      </c>
      <c r="D137">
        <v>171</v>
      </c>
      <c r="E137">
        <v>5130</v>
      </c>
      <c r="F137">
        <v>6270</v>
      </c>
      <c r="G137">
        <v>5130</v>
      </c>
      <c r="H137" t="str">
        <f>IF(CleanSalesData[[#This Row],[Corrected Revenue]]&gt;CleanSalesData[[#This Row],[Target]], "Good Profit", "Low Profit"  )</f>
        <v>Low Profit</v>
      </c>
      <c r="I137" s="1">
        <f>(CleanSalesData[[#This Row],[Corrected Revenue]]/CleanSalesData[[#This Row],[Target]])</f>
        <v>0.81818181818181823</v>
      </c>
      <c r="J137" s="2">
        <f>IF(CleanSalesData[[#This Row],[Units_Sold]]=0,0,CleanSalesData[[#This Row],[Corrected Revenue]]/CleanSalesData[[#This Row],[Units_Sold]])</f>
        <v>30</v>
      </c>
    </row>
    <row r="138" spans="1:10" x14ac:dyDescent="0.25">
      <c r="A138" t="s">
        <v>11</v>
      </c>
      <c r="B138" s="3">
        <v>46207</v>
      </c>
      <c r="C138" t="s">
        <v>7</v>
      </c>
      <c r="D138">
        <v>128</v>
      </c>
      <c r="E138">
        <v>3840</v>
      </c>
      <c r="F138">
        <v>4168</v>
      </c>
      <c r="G138">
        <v>3840</v>
      </c>
      <c r="H138" t="str">
        <f>IF(CleanSalesData[[#This Row],[Corrected Revenue]]&gt;CleanSalesData[[#This Row],[Target]], "Good Profit", "Low Profit"  )</f>
        <v>Low Profit</v>
      </c>
      <c r="I138" s="1">
        <f>(CleanSalesData[[#This Row],[Corrected Revenue]]/CleanSalesData[[#This Row],[Target]])</f>
        <v>0.92130518234165071</v>
      </c>
      <c r="J138" s="2">
        <f>IF(CleanSalesData[[#This Row],[Units_Sold]]=0,0,CleanSalesData[[#This Row],[Corrected Revenue]]/CleanSalesData[[#This Row],[Units_Sold]])</f>
        <v>30</v>
      </c>
    </row>
    <row r="139" spans="1:10" x14ac:dyDescent="0.25">
      <c r="A139" t="s">
        <v>11</v>
      </c>
      <c r="B139" s="3">
        <v>46207</v>
      </c>
      <c r="C139" t="s">
        <v>8</v>
      </c>
      <c r="D139">
        <v>183</v>
      </c>
      <c r="E139">
        <v>5490</v>
      </c>
      <c r="F139">
        <v>6543</v>
      </c>
      <c r="G139">
        <v>5490</v>
      </c>
      <c r="H139" t="str">
        <f>IF(CleanSalesData[[#This Row],[Corrected Revenue]]&gt;CleanSalesData[[#This Row],[Target]], "Good Profit", "Low Profit"  )</f>
        <v>Low Profit</v>
      </c>
      <c r="I139" s="1">
        <f>(CleanSalesData[[#This Row],[Corrected Revenue]]/CleanSalesData[[#This Row],[Target]])</f>
        <v>0.83906464924346635</v>
      </c>
      <c r="J139" s="2">
        <f>IF(CleanSalesData[[#This Row],[Units_Sold]]=0,0,CleanSalesData[[#This Row],[Corrected Revenue]]/CleanSalesData[[#This Row],[Units_Sold]])</f>
        <v>30</v>
      </c>
    </row>
    <row r="140" spans="1:10" x14ac:dyDescent="0.25">
      <c r="A140" t="s">
        <v>11</v>
      </c>
      <c r="B140" s="3">
        <v>46207</v>
      </c>
      <c r="C140" t="s">
        <v>9</v>
      </c>
      <c r="D140">
        <v>149</v>
      </c>
      <c r="E140">
        <v>4470</v>
      </c>
      <c r="F140">
        <v>6875</v>
      </c>
      <c r="G140">
        <v>4470</v>
      </c>
      <c r="H140" t="str">
        <f>IF(CleanSalesData[[#This Row],[Corrected Revenue]]&gt;CleanSalesData[[#This Row],[Target]], "Good Profit", "Low Profit"  )</f>
        <v>Low Profit</v>
      </c>
      <c r="I140" s="1">
        <f>(CleanSalesData[[#This Row],[Corrected Revenue]]/CleanSalesData[[#This Row],[Target]])</f>
        <v>0.65018181818181819</v>
      </c>
      <c r="J140" s="2">
        <f>IF(CleanSalesData[[#This Row],[Units_Sold]]=0,0,CleanSalesData[[#This Row],[Corrected Revenue]]/CleanSalesData[[#This Row],[Units_Sold]])</f>
        <v>30</v>
      </c>
    </row>
    <row r="141" spans="1:10" x14ac:dyDescent="0.25">
      <c r="A141" t="s">
        <v>11</v>
      </c>
      <c r="B141" s="3">
        <v>46207</v>
      </c>
      <c r="C141" t="s">
        <v>10</v>
      </c>
      <c r="D141">
        <v>105</v>
      </c>
      <c r="E141">
        <v>3150</v>
      </c>
      <c r="F141">
        <v>7848</v>
      </c>
      <c r="G141">
        <v>3150</v>
      </c>
      <c r="H141" t="str">
        <f>IF(CleanSalesData[[#This Row],[Corrected Revenue]]&gt;CleanSalesData[[#This Row],[Target]], "Good Profit", "Low Profit"  )</f>
        <v>Low Profit</v>
      </c>
      <c r="I141" s="1">
        <f>(CleanSalesData[[#This Row],[Corrected Revenue]]/CleanSalesData[[#This Row],[Target]])</f>
        <v>0.40137614678899081</v>
      </c>
      <c r="J141" s="2">
        <f>IF(CleanSalesData[[#This Row],[Units_Sold]]=0,0,CleanSalesData[[#This Row],[Corrected Revenue]]/CleanSalesData[[#This Row],[Units_Sold]])</f>
        <v>30</v>
      </c>
    </row>
    <row r="142" spans="1:10" x14ac:dyDescent="0.25">
      <c r="A142" t="s">
        <v>11</v>
      </c>
      <c r="B142" s="3">
        <v>46208</v>
      </c>
      <c r="C142" t="s">
        <v>7</v>
      </c>
      <c r="D142">
        <v>93</v>
      </c>
      <c r="E142">
        <v>2790</v>
      </c>
      <c r="F142">
        <v>3185</v>
      </c>
      <c r="G142">
        <v>2790</v>
      </c>
      <c r="H142" t="str">
        <f>IF(CleanSalesData[[#This Row],[Corrected Revenue]]&gt;CleanSalesData[[#This Row],[Target]], "Good Profit", "Low Profit"  )</f>
        <v>Low Profit</v>
      </c>
      <c r="I142" s="1">
        <f>(CleanSalesData[[#This Row],[Corrected Revenue]]/CleanSalesData[[#This Row],[Target]])</f>
        <v>0.87598116169544737</v>
      </c>
      <c r="J142" s="2">
        <f>IF(CleanSalesData[[#This Row],[Units_Sold]]=0,0,CleanSalesData[[#This Row],[Corrected Revenue]]/CleanSalesData[[#This Row],[Units_Sold]])</f>
        <v>30</v>
      </c>
    </row>
    <row r="143" spans="1:10" x14ac:dyDescent="0.25">
      <c r="A143" t="s">
        <v>11</v>
      </c>
      <c r="B143" s="3">
        <v>46208</v>
      </c>
      <c r="C143" t="s">
        <v>8</v>
      </c>
      <c r="D143">
        <v>243</v>
      </c>
      <c r="E143">
        <v>7290</v>
      </c>
      <c r="F143">
        <v>5437</v>
      </c>
      <c r="G143">
        <v>7290</v>
      </c>
      <c r="H143" t="str">
        <f>IF(CleanSalesData[[#This Row],[Corrected Revenue]]&gt;CleanSalesData[[#This Row],[Target]], "Good Profit", "Low Profit"  )</f>
        <v>Good Profit</v>
      </c>
      <c r="I143" s="1">
        <f>(CleanSalesData[[#This Row],[Corrected Revenue]]/CleanSalesData[[#This Row],[Target]])</f>
        <v>1.3408129483170865</v>
      </c>
      <c r="J143" s="2">
        <f>IF(CleanSalesData[[#This Row],[Units_Sold]]=0,0,CleanSalesData[[#This Row],[Corrected Revenue]]/CleanSalesData[[#This Row],[Units_Sold]])</f>
        <v>30</v>
      </c>
    </row>
    <row r="144" spans="1:10" x14ac:dyDescent="0.25">
      <c r="A144" t="s">
        <v>11</v>
      </c>
      <c r="B144" s="3">
        <v>46208</v>
      </c>
      <c r="C144" t="s">
        <v>9</v>
      </c>
      <c r="D144">
        <v>162</v>
      </c>
      <c r="E144">
        <v>4860</v>
      </c>
      <c r="F144">
        <v>7081</v>
      </c>
      <c r="G144">
        <v>4860</v>
      </c>
      <c r="H144" t="str">
        <f>IF(CleanSalesData[[#This Row],[Corrected Revenue]]&gt;CleanSalesData[[#This Row],[Target]], "Good Profit", "Low Profit"  )</f>
        <v>Low Profit</v>
      </c>
      <c r="I144" s="1">
        <f>(CleanSalesData[[#This Row],[Corrected Revenue]]/CleanSalesData[[#This Row],[Target]])</f>
        <v>0.68634373676034455</v>
      </c>
      <c r="J144" s="2">
        <f>IF(CleanSalesData[[#This Row],[Units_Sold]]=0,0,CleanSalesData[[#This Row],[Corrected Revenue]]/CleanSalesData[[#This Row],[Units_Sold]])</f>
        <v>30</v>
      </c>
    </row>
    <row r="145" spans="1:10" x14ac:dyDescent="0.25">
      <c r="A145" t="s">
        <v>11</v>
      </c>
      <c r="B145" s="3">
        <v>46208</v>
      </c>
      <c r="C145" t="s">
        <v>10</v>
      </c>
      <c r="D145">
        <v>142</v>
      </c>
      <c r="E145">
        <v>4260</v>
      </c>
      <c r="F145">
        <v>7129</v>
      </c>
      <c r="G145">
        <v>4260</v>
      </c>
      <c r="H145" t="str">
        <f>IF(CleanSalesData[[#This Row],[Corrected Revenue]]&gt;CleanSalesData[[#This Row],[Target]], "Good Profit", "Low Profit"  )</f>
        <v>Low Profit</v>
      </c>
      <c r="I145" s="1">
        <f>(CleanSalesData[[#This Row],[Corrected Revenue]]/CleanSalesData[[#This Row],[Target]])</f>
        <v>0.59755926497404965</v>
      </c>
      <c r="J145" s="2">
        <f>IF(CleanSalesData[[#This Row],[Units_Sold]]=0,0,CleanSalesData[[#This Row],[Corrected Revenue]]/CleanSalesData[[#This Row],[Units_Sold]])</f>
        <v>30</v>
      </c>
    </row>
    <row r="146" spans="1:10" x14ac:dyDescent="0.25">
      <c r="A146" t="s">
        <v>11</v>
      </c>
      <c r="B146" s="3">
        <v>46209</v>
      </c>
      <c r="C146" t="s">
        <v>7</v>
      </c>
      <c r="D146">
        <v>239</v>
      </c>
      <c r="E146">
        <v>7170</v>
      </c>
      <c r="F146">
        <v>6639</v>
      </c>
      <c r="G146">
        <v>7170</v>
      </c>
      <c r="H146" t="str">
        <f>IF(CleanSalesData[[#This Row],[Corrected Revenue]]&gt;CleanSalesData[[#This Row],[Target]], "Good Profit", "Low Profit"  )</f>
        <v>Good Profit</v>
      </c>
      <c r="I146" s="1">
        <f>(CleanSalesData[[#This Row],[Corrected Revenue]]/CleanSalesData[[#This Row],[Target]])</f>
        <v>1.079981924988703</v>
      </c>
      <c r="J146" s="2">
        <f>IF(CleanSalesData[[#This Row],[Units_Sold]]=0,0,CleanSalesData[[#This Row],[Corrected Revenue]]/CleanSalesData[[#This Row],[Units_Sold]])</f>
        <v>30</v>
      </c>
    </row>
    <row r="147" spans="1:10" x14ac:dyDescent="0.25">
      <c r="A147" t="s">
        <v>11</v>
      </c>
      <c r="B147" s="3">
        <v>46209</v>
      </c>
      <c r="C147" t="s">
        <v>8</v>
      </c>
      <c r="D147">
        <v>222</v>
      </c>
      <c r="E147">
        <v>6660</v>
      </c>
      <c r="F147">
        <v>6235</v>
      </c>
      <c r="G147">
        <v>6660</v>
      </c>
      <c r="H147" t="str">
        <f>IF(CleanSalesData[[#This Row],[Corrected Revenue]]&gt;CleanSalesData[[#This Row],[Target]], "Good Profit", "Low Profit"  )</f>
        <v>Good Profit</v>
      </c>
      <c r="I147" s="1">
        <f>(CleanSalesData[[#This Row],[Corrected Revenue]]/CleanSalesData[[#This Row],[Target]])</f>
        <v>1.0681635926222934</v>
      </c>
      <c r="J147" s="2">
        <f>IF(CleanSalesData[[#This Row],[Units_Sold]]=0,0,CleanSalesData[[#This Row],[Corrected Revenue]]/CleanSalesData[[#This Row],[Units_Sold]])</f>
        <v>30</v>
      </c>
    </row>
    <row r="148" spans="1:10" x14ac:dyDescent="0.25">
      <c r="A148" t="s">
        <v>11</v>
      </c>
      <c r="B148" s="3">
        <v>46209</v>
      </c>
      <c r="C148" t="s">
        <v>9</v>
      </c>
      <c r="D148">
        <v>160</v>
      </c>
      <c r="E148">
        <v>4800</v>
      </c>
      <c r="F148">
        <v>5303</v>
      </c>
      <c r="G148">
        <v>4800</v>
      </c>
      <c r="H148" t="str">
        <f>IF(CleanSalesData[[#This Row],[Corrected Revenue]]&gt;CleanSalesData[[#This Row],[Target]], "Good Profit", "Low Profit"  )</f>
        <v>Low Profit</v>
      </c>
      <c r="I148" s="1">
        <f>(CleanSalesData[[#This Row],[Corrected Revenue]]/CleanSalesData[[#This Row],[Target]])</f>
        <v>0.90514802941731098</v>
      </c>
      <c r="J148" s="2">
        <f>IF(CleanSalesData[[#This Row],[Units_Sold]]=0,0,CleanSalesData[[#This Row],[Corrected Revenue]]/CleanSalesData[[#This Row],[Units_Sold]])</f>
        <v>30</v>
      </c>
    </row>
    <row r="149" spans="1:10" x14ac:dyDescent="0.25">
      <c r="A149" t="s">
        <v>11</v>
      </c>
      <c r="B149" s="3">
        <v>46209</v>
      </c>
      <c r="C149" t="s">
        <v>10</v>
      </c>
      <c r="D149">
        <v>249</v>
      </c>
      <c r="E149">
        <v>7470</v>
      </c>
      <c r="F149">
        <v>4985</v>
      </c>
      <c r="G149">
        <v>7470</v>
      </c>
      <c r="H149" t="str">
        <f>IF(CleanSalesData[[#This Row],[Corrected Revenue]]&gt;CleanSalesData[[#This Row],[Target]], "Good Profit", "Low Profit"  )</f>
        <v>Good Profit</v>
      </c>
      <c r="I149" s="1">
        <f>(CleanSalesData[[#This Row],[Corrected Revenue]]/CleanSalesData[[#This Row],[Target]])</f>
        <v>1.4984954864593782</v>
      </c>
      <c r="J149" s="2">
        <f>IF(CleanSalesData[[#This Row],[Units_Sold]]=0,0,CleanSalesData[[#This Row],[Corrected Revenue]]/CleanSalesData[[#This Row],[Units_Sold]])</f>
        <v>30</v>
      </c>
    </row>
    <row r="150" spans="1:10" x14ac:dyDescent="0.25">
      <c r="A150" t="s">
        <v>11</v>
      </c>
      <c r="B150" s="3">
        <v>46210</v>
      </c>
      <c r="C150" t="s">
        <v>7</v>
      </c>
      <c r="D150">
        <v>122</v>
      </c>
      <c r="E150">
        <v>3660</v>
      </c>
      <c r="F150">
        <v>7503</v>
      </c>
      <c r="G150">
        <v>3660</v>
      </c>
      <c r="H150" t="str">
        <f>IF(CleanSalesData[[#This Row],[Corrected Revenue]]&gt;CleanSalesData[[#This Row],[Target]], "Good Profit", "Low Profit"  )</f>
        <v>Low Profit</v>
      </c>
      <c r="I150" s="1">
        <f>(CleanSalesData[[#This Row],[Corrected Revenue]]/CleanSalesData[[#This Row],[Target]])</f>
        <v>0.48780487804878048</v>
      </c>
      <c r="J150" s="2">
        <f>IF(CleanSalesData[[#This Row],[Units_Sold]]=0,0,CleanSalesData[[#This Row],[Corrected Revenue]]/CleanSalesData[[#This Row],[Units_Sold]])</f>
        <v>30</v>
      </c>
    </row>
    <row r="151" spans="1:10" x14ac:dyDescent="0.25">
      <c r="A151" t="s">
        <v>11</v>
      </c>
      <c r="B151" s="3">
        <v>46210</v>
      </c>
      <c r="C151" t="s">
        <v>8</v>
      </c>
      <c r="D151">
        <v>226</v>
      </c>
      <c r="E151">
        <v>6780</v>
      </c>
      <c r="F151">
        <v>3523</v>
      </c>
      <c r="G151">
        <v>6780</v>
      </c>
      <c r="H151" t="str">
        <f>IF(CleanSalesData[[#This Row],[Corrected Revenue]]&gt;CleanSalesData[[#This Row],[Target]], "Good Profit", "Low Profit"  )</f>
        <v>Good Profit</v>
      </c>
      <c r="I151" s="1">
        <f>(CleanSalesData[[#This Row],[Corrected Revenue]]/CleanSalesData[[#This Row],[Target]])</f>
        <v>1.9244961680386035</v>
      </c>
      <c r="J151" s="2">
        <f>IF(CleanSalesData[[#This Row],[Units_Sold]]=0,0,CleanSalesData[[#This Row],[Corrected Revenue]]/CleanSalesData[[#This Row],[Units_Sold]])</f>
        <v>30</v>
      </c>
    </row>
    <row r="152" spans="1:10" x14ac:dyDescent="0.25">
      <c r="A152" t="s">
        <v>11</v>
      </c>
      <c r="B152" s="3">
        <v>46210</v>
      </c>
      <c r="C152" t="s">
        <v>9</v>
      </c>
      <c r="D152">
        <v>103</v>
      </c>
      <c r="E152">
        <v>3090</v>
      </c>
      <c r="F152">
        <v>6913</v>
      </c>
      <c r="G152">
        <v>3090</v>
      </c>
      <c r="H152" t="str">
        <f>IF(CleanSalesData[[#This Row],[Corrected Revenue]]&gt;CleanSalesData[[#This Row],[Target]], "Good Profit", "Low Profit"  )</f>
        <v>Low Profit</v>
      </c>
      <c r="I152" s="1">
        <f>(CleanSalesData[[#This Row],[Corrected Revenue]]/CleanSalesData[[#This Row],[Target]])</f>
        <v>0.44698394329524083</v>
      </c>
      <c r="J152" s="2">
        <f>IF(CleanSalesData[[#This Row],[Units_Sold]]=0,0,CleanSalesData[[#This Row],[Corrected Revenue]]/CleanSalesData[[#This Row],[Units_Sold]])</f>
        <v>30</v>
      </c>
    </row>
    <row r="153" spans="1:10" x14ac:dyDescent="0.25">
      <c r="A153" t="s">
        <v>11</v>
      </c>
      <c r="B153" s="3">
        <v>46210</v>
      </c>
      <c r="C153" t="s">
        <v>10</v>
      </c>
      <c r="D153">
        <v>136</v>
      </c>
      <c r="E153">
        <v>4080</v>
      </c>
      <c r="F153">
        <v>3657</v>
      </c>
      <c r="G153">
        <v>4080</v>
      </c>
      <c r="H153" t="str">
        <f>IF(CleanSalesData[[#This Row],[Corrected Revenue]]&gt;CleanSalesData[[#This Row],[Target]], "Good Profit", "Low Profit"  )</f>
        <v>Good Profit</v>
      </c>
      <c r="I153" s="1">
        <f>(CleanSalesData[[#This Row],[Corrected Revenue]]/CleanSalesData[[#This Row],[Target]])</f>
        <v>1.1156685808039377</v>
      </c>
      <c r="J153" s="2">
        <f>IF(CleanSalesData[[#This Row],[Units_Sold]]=0,0,CleanSalesData[[#This Row],[Corrected Revenue]]/CleanSalesData[[#This Row],[Units_Sold]])</f>
        <v>30</v>
      </c>
    </row>
    <row r="154" spans="1:10" x14ac:dyDescent="0.25">
      <c r="A154" t="s">
        <v>11</v>
      </c>
      <c r="B154" s="3">
        <v>46211</v>
      </c>
      <c r="C154" t="s">
        <v>7</v>
      </c>
      <c r="D154">
        <v>176</v>
      </c>
      <c r="E154">
        <v>5280</v>
      </c>
      <c r="F154">
        <v>5499</v>
      </c>
      <c r="G154">
        <v>5280</v>
      </c>
      <c r="H154" t="str">
        <f>IF(CleanSalesData[[#This Row],[Corrected Revenue]]&gt;CleanSalesData[[#This Row],[Target]], "Good Profit", "Low Profit"  )</f>
        <v>Low Profit</v>
      </c>
      <c r="I154" s="1">
        <f>(CleanSalesData[[#This Row],[Corrected Revenue]]/CleanSalesData[[#This Row],[Target]])</f>
        <v>0.96017457719585375</v>
      </c>
      <c r="J154" s="2">
        <f>IF(CleanSalesData[[#This Row],[Units_Sold]]=0,0,CleanSalesData[[#This Row],[Corrected Revenue]]/CleanSalesData[[#This Row],[Units_Sold]])</f>
        <v>30</v>
      </c>
    </row>
    <row r="155" spans="1:10" x14ac:dyDescent="0.25">
      <c r="A155" t="s">
        <v>11</v>
      </c>
      <c r="B155" s="3">
        <v>46211</v>
      </c>
      <c r="C155" t="s">
        <v>8</v>
      </c>
      <c r="D155">
        <v>205</v>
      </c>
      <c r="E155">
        <v>6150</v>
      </c>
      <c r="F155">
        <v>6471</v>
      </c>
      <c r="G155">
        <v>6150</v>
      </c>
      <c r="H155" t="str">
        <f>IF(CleanSalesData[[#This Row],[Corrected Revenue]]&gt;CleanSalesData[[#This Row],[Target]], "Good Profit", "Low Profit"  )</f>
        <v>Low Profit</v>
      </c>
      <c r="I155" s="1">
        <f>(CleanSalesData[[#This Row],[Corrected Revenue]]/CleanSalesData[[#This Row],[Target]])</f>
        <v>0.95039406583217434</v>
      </c>
      <c r="J155" s="2">
        <f>IF(CleanSalesData[[#This Row],[Units_Sold]]=0,0,CleanSalesData[[#This Row],[Corrected Revenue]]/CleanSalesData[[#This Row],[Units_Sold]])</f>
        <v>30</v>
      </c>
    </row>
    <row r="156" spans="1:10" x14ac:dyDescent="0.25">
      <c r="A156" t="s">
        <v>11</v>
      </c>
      <c r="B156" s="3">
        <v>46211</v>
      </c>
      <c r="C156" t="s">
        <v>9</v>
      </c>
      <c r="D156">
        <v>229</v>
      </c>
      <c r="E156">
        <v>6870</v>
      </c>
      <c r="F156">
        <v>4911</v>
      </c>
      <c r="G156">
        <v>6870</v>
      </c>
      <c r="H156" t="str">
        <f>IF(CleanSalesData[[#This Row],[Corrected Revenue]]&gt;CleanSalesData[[#This Row],[Target]], "Good Profit", "Low Profit"  )</f>
        <v>Good Profit</v>
      </c>
      <c r="I156" s="1">
        <f>(CleanSalesData[[#This Row],[Corrected Revenue]]/CleanSalesData[[#This Row],[Target]])</f>
        <v>1.3989004276114845</v>
      </c>
      <c r="J156" s="2">
        <f>IF(CleanSalesData[[#This Row],[Units_Sold]]=0,0,CleanSalesData[[#This Row],[Corrected Revenue]]/CleanSalesData[[#This Row],[Units_Sold]])</f>
        <v>30</v>
      </c>
    </row>
    <row r="157" spans="1:10" x14ac:dyDescent="0.25">
      <c r="A157" t="s">
        <v>11</v>
      </c>
      <c r="B157" s="3">
        <v>46211</v>
      </c>
      <c r="C157" t="s">
        <v>10</v>
      </c>
      <c r="D157">
        <v>136</v>
      </c>
      <c r="E157">
        <v>4080</v>
      </c>
      <c r="F157">
        <v>7098</v>
      </c>
      <c r="G157">
        <v>4080</v>
      </c>
      <c r="H157" t="str">
        <f>IF(CleanSalesData[[#This Row],[Corrected Revenue]]&gt;CleanSalesData[[#This Row],[Target]], "Good Profit", "Low Profit"  )</f>
        <v>Low Profit</v>
      </c>
      <c r="I157" s="1">
        <f>(CleanSalesData[[#This Row],[Corrected Revenue]]/CleanSalesData[[#This Row],[Target]])</f>
        <v>0.57480980557903638</v>
      </c>
      <c r="J157" s="2">
        <f>IF(CleanSalesData[[#This Row],[Units_Sold]]=0,0,CleanSalesData[[#This Row],[Corrected Revenue]]/CleanSalesData[[#This Row],[Units_Sold]])</f>
        <v>30</v>
      </c>
    </row>
    <row r="158" spans="1:10" x14ac:dyDescent="0.25">
      <c r="A158" t="s">
        <v>11</v>
      </c>
      <c r="B158" s="3">
        <v>46212</v>
      </c>
      <c r="C158" t="s">
        <v>7</v>
      </c>
      <c r="D158">
        <v>197</v>
      </c>
      <c r="E158">
        <v>5910</v>
      </c>
      <c r="F158">
        <v>3150</v>
      </c>
      <c r="G158">
        <v>5910</v>
      </c>
      <c r="H158" t="str">
        <f>IF(CleanSalesData[[#This Row],[Corrected Revenue]]&gt;CleanSalesData[[#This Row],[Target]], "Good Profit", "Low Profit"  )</f>
        <v>Good Profit</v>
      </c>
      <c r="I158" s="1">
        <f>(CleanSalesData[[#This Row],[Corrected Revenue]]/CleanSalesData[[#This Row],[Target]])</f>
        <v>1.8761904761904762</v>
      </c>
      <c r="J158" s="2">
        <f>IF(CleanSalesData[[#This Row],[Units_Sold]]=0,0,CleanSalesData[[#This Row],[Corrected Revenue]]/CleanSalesData[[#This Row],[Units_Sold]])</f>
        <v>30</v>
      </c>
    </row>
    <row r="159" spans="1:10" x14ac:dyDescent="0.25">
      <c r="A159" t="s">
        <v>11</v>
      </c>
      <c r="B159" s="3">
        <v>46212</v>
      </c>
      <c r="C159" t="s">
        <v>8</v>
      </c>
      <c r="D159">
        <v>0</v>
      </c>
      <c r="E159">
        <v>4500</v>
      </c>
      <c r="F159">
        <v>6609</v>
      </c>
      <c r="G159">
        <v>0</v>
      </c>
      <c r="H159" t="str">
        <f>IF(CleanSalesData[[#This Row],[Corrected Revenue]]&gt;CleanSalesData[[#This Row],[Target]], "Good Profit", "Low Profit"  )</f>
        <v>Low Profit</v>
      </c>
      <c r="I159" s="1">
        <f>(CleanSalesData[[#This Row],[Corrected Revenue]]/CleanSalesData[[#This Row],[Target]])</f>
        <v>0</v>
      </c>
      <c r="J159" s="2">
        <f>IF(CleanSalesData[[#This Row],[Units_Sold]]=0,0,CleanSalesData[[#This Row],[Corrected Revenue]]/CleanSalesData[[#This Row],[Units_Sold]])</f>
        <v>0</v>
      </c>
    </row>
    <row r="160" spans="1:10" x14ac:dyDescent="0.25">
      <c r="A160" t="s">
        <v>11</v>
      </c>
      <c r="B160" s="3">
        <v>46212</v>
      </c>
      <c r="C160" t="s">
        <v>9</v>
      </c>
      <c r="D160">
        <v>118</v>
      </c>
      <c r="E160">
        <v>3540</v>
      </c>
      <c r="F160">
        <v>3416</v>
      </c>
      <c r="G160">
        <v>3540</v>
      </c>
      <c r="H160" t="str">
        <f>IF(CleanSalesData[[#This Row],[Corrected Revenue]]&gt;CleanSalesData[[#This Row],[Target]], "Good Profit", "Low Profit"  )</f>
        <v>Good Profit</v>
      </c>
      <c r="I160" s="1">
        <f>(CleanSalesData[[#This Row],[Corrected Revenue]]/CleanSalesData[[#This Row],[Target]])</f>
        <v>1.0362997658079625</v>
      </c>
      <c r="J160" s="2">
        <f>IF(CleanSalesData[[#This Row],[Units_Sold]]=0,0,CleanSalesData[[#This Row],[Corrected Revenue]]/CleanSalesData[[#This Row],[Units_Sold]])</f>
        <v>30</v>
      </c>
    </row>
    <row r="161" spans="1:10" x14ac:dyDescent="0.25">
      <c r="A161" t="s">
        <v>11</v>
      </c>
      <c r="B161" s="3">
        <v>46212</v>
      </c>
      <c r="C161" t="s">
        <v>10</v>
      </c>
      <c r="D161">
        <v>0</v>
      </c>
      <c r="E161">
        <v>4500</v>
      </c>
      <c r="F161">
        <v>3268</v>
      </c>
      <c r="G161">
        <v>0</v>
      </c>
      <c r="H161" t="str">
        <f>IF(CleanSalesData[[#This Row],[Corrected Revenue]]&gt;CleanSalesData[[#This Row],[Target]], "Good Profit", "Low Profit"  )</f>
        <v>Low Profit</v>
      </c>
      <c r="I161" s="1">
        <f>(CleanSalesData[[#This Row],[Corrected Revenue]]/CleanSalesData[[#This Row],[Target]])</f>
        <v>0</v>
      </c>
      <c r="J161" s="2">
        <f>IF(CleanSalesData[[#This Row],[Units_Sold]]=0,0,CleanSalesData[[#This Row],[Corrected Revenue]]/CleanSalesData[[#This Row],[Units_Sold]])</f>
        <v>0</v>
      </c>
    </row>
    <row r="162" spans="1:10" x14ac:dyDescent="0.25">
      <c r="A162" t="s">
        <v>11</v>
      </c>
      <c r="B162" s="3">
        <v>46213</v>
      </c>
      <c r="C162" t="s">
        <v>7</v>
      </c>
      <c r="D162">
        <v>214</v>
      </c>
      <c r="E162">
        <v>6420</v>
      </c>
      <c r="F162">
        <v>6184</v>
      </c>
      <c r="G162">
        <v>6420</v>
      </c>
      <c r="H162" t="str">
        <f>IF(CleanSalesData[[#This Row],[Corrected Revenue]]&gt;CleanSalesData[[#This Row],[Target]], "Good Profit", "Low Profit"  )</f>
        <v>Good Profit</v>
      </c>
      <c r="I162" s="1">
        <f>(CleanSalesData[[#This Row],[Corrected Revenue]]/CleanSalesData[[#This Row],[Target]])</f>
        <v>1.0381630012936611</v>
      </c>
      <c r="J162" s="2">
        <f>IF(CleanSalesData[[#This Row],[Units_Sold]]=0,0,CleanSalesData[[#This Row],[Corrected Revenue]]/CleanSalesData[[#This Row],[Units_Sold]])</f>
        <v>30</v>
      </c>
    </row>
    <row r="163" spans="1:10" x14ac:dyDescent="0.25">
      <c r="A163" t="s">
        <v>11</v>
      </c>
      <c r="B163" s="3">
        <v>46213</v>
      </c>
      <c r="C163" t="s">
        <v>8</v>
      </c>
      <c r="D163">
        <v>249</v>
      </c>
      <c r="E163">
        <v>-7470</v>
      </c>
      <c r="F163">
        <v>7576</v>
      </c>
      <c r="G163">
        <v>7470</v>
      </c>
      <c r="H163" t="str">
        <f>IF(CleanSalesData[[#This Row],[Corrected Revenue]]&gt;CleanSalesData[[#This Row],[Target]], "Good Profit", "Low Profit"  )</f>
        <v>Low Profit</v>
      </c>
      <c r="I163" s="1">
        <f>(CleanSalesData[[#This Row],[Corrected Revenue]]/CleanSalesData[[#This Row],[Target]])</f>
        <v>0.98600844772967267</v>
      </c>
      <c r="J163" s="2">
        <f>IF(CleanSalesData[[#This Row],[Units_Sold]]=0,0,CleanSalesData[[#This Row],[Corrected Revenue]]/CleanSalesData[[#This Row],[Units_Sold]])</f>
        <v>30</v>
      </c>
    </row>
    <row r="164" spans="1:10" x14ac:dyDescent="0.25">
      <c r="A164" t="s">
        <v>11</v>
      </c>
      <c r="B164" s="3">
        <v>46213</v>
      </c>
      <c r="C164" t="s">
        <v>9</v>
      </c>
      <c r="D164">
        <v>198</v>
      </c>
      <c r="E164">
        <v>5940</v>
      </c>
      <c r="F164">
        <v>7362</v>
      </c>
      <c r="G164">
        <v>5940</v>
      </c>
      <c r="H164" t="str">
        <f>IF(CleanSalesData[[#This Row],[Corrected Revenue]]&gt;CleanSalesData[[#This Row],[Target]], "Good Profit", "Low Profit"  )</f>
        <v>Low Profit</v>
      </c>
      <c r="I164" s="1">
        <f>(CleanSalesData[[#This Row],[Corrected Revenue]]/CleanSalesData[[#This Row],[Target]])</f>
        <v>0.8068459657701712</v>
      </c>
      <c r="J164" s="2">
        <f>IF(CleanSalesData[[#This Row],[Units_Sold]]=0,0,CleanSalesData[[#This Row],[Corrected Revenue]]/CleanSalesData[[#This Row],[Units_Sold]])</f>
        <v>30</v>
      </c>
    </row>
    <row r="165" spans="1:10" x14ac:dyDescent="0.25">
      <c r="A165" t="s">
        <v>11</v>
      </c>
      <c r="B165" s="3">
        <v>46213</v>
      </c>
      <c r="C165" t="s">
        <v>10</v>
      </c>
      <c r="D165">
        <v>139</v>
      </c>
      <c r="E165">
        <v>4170</v>
      </c>
      <c r="F165">
        <v>6802</v>
      </c>
      <c r="G165">
        <v>4170</v>
      </c>
      <c r="H165" t="str">
        <f>IF(CleanSalesData[[#This Row],[Corrected Revenue]]&gt;CleanSalesData[[#This Row],[Target]], "Good Profit", "Low Profit"  )</f>
        <v>Low Profit</v>
      </c>
      <c r="I165" s="1">
        <f>(CleanSalesData[[#This Row],[Corrected Revenue]]/CleanSalesData[[#This Row],[Target]])</f>
        <v>0.61305498382828583</v>
      </c>
      <c r="J165" s="2">
        <f>IF(CleanSalesData[[#This Row],[Units_Sold]]=0,0,CleanSalesData[[#This Row],[Corrected Revenue]]/CleanSalesData[[#This Row],[Units_Sold]])</f>
        <v>30</v>
      </c>
    </row>
    <row r="166" spans="1:10" x14ac:dyDescent="0.25">
      <c r="A166" t="s">
        <v>11</v>
      </c>
      <c r="B166" s="3">
        <v>46214</v>
      </c>
      <c r="C166" t="s">
        <v>7</v>
      </c>
      <c r="D166">
        <v>169</v>
      </c>
      <c r="E166">
        <v>-5070</v>
      </c>
      <c r="F166">
        <v>3716</v>
      </c>
      <c r="G166">
        <v>5070</v>
      </c>
      <c r="H166" t="str">
        <f>IF(CleanSalesData[[#This Row],[Corrected Revenue]]&gt;CleanSalesData[[#This Row],[Target]], "Good Profit", "Low Profit"  )</f>
        <v>Good Profit</v>
      </c>
      <c r="I166" s="1">
        <f>(CleanSalesData[[#This Row],[Corrected Revenue]]/CleanSalesData[[#This Row],[Target]])</f>
        <v>1.3643702906350914</v>
      </c>
      <c r="J166" s="2">
        <f>IF(CleanSalesData[[#This Row],[Units_Sold]]=0,0,CleanSalesData[[#This Row],[Corrected Revenue]]/CleanSalesData[[#This Row],[Units_Sold]])</f>
        <v>30</v>
      </c>
    </row>
    <row r="167" spans="1:10" x14ac:dyDescent="0.25">
      <c r="A167" t="s">
        <v>11</v>
      </c>
      <c r="B167" s="3">
        <v>46214</v>
      </c>
      <c r="C167" t="s">
        <v>8</v>
      </c>
      <c r="D167">
        <v>216</v>
      </c>
      <c r="E167">
        <v>6480</v>
      </c>
      <c r="F167">
        <v>5769</v>
      </c>
      <c r="G167">
        <v>6480</v>
      </c>
      <c r="H167" t="str">
        <f>IF(CleanSalesData[[#This Row],[Corrected Revenue]]&gt;CleanSalesData[[#This Row],[Target]], "Good Profit", "Low Profit"  )</f>
        <v>Good Profit</v>
      </c>
      <c r="I167" s="1">
        <f>(CleanSalesData[[#This Row],[Corrected Revenue]]/CleanSalesData[[#This Row],[Target]])</f>
        <v>1.1232449297971918</v>
      </c>
      <c r="J167" s="2">
        <f>IF(CleanSalesData[[#This Row],[Units_Sold]]=0,0,CleanSalesData[[#This Row],[Corrected Revenue]]/CleanSalesData[[#This Row],[Units_Sold]])</f>
        <v>30</v>
      </c>
    </row>
    <row r="168" spans="1:10" x14ac:dyDescent="0.25">
      <c r="A168" t="s">
        <v>11</v>
      </c>
      <c r="B168" s="3">
        <v>46214</v>
      </c>
      <c r="C168" t="s">
        <v>9</v>
      </c>
      <c r="D168">
        <v>0</v>
      </c>
      <c r="E168">
        <v>4500</v>
      </c>
      <c r="F168">
        <v>7508</v>
      </c>
      <c r="G168">
        <v>0</v>
      </c>
      <c r="H168" t="str">
        <f>IF(CleanSalesData[[#This Row],[Corrected Revenue]]&gt;CleanSalesData[[#This Row],[Target]], "Good Profit", "Low Profit"  )</f>
        <v>Low Profit</v>
      </c>
      <c r="I168" s="1">
        <f>(CleanSalesData[[#This Row],[Corrected Revenue]]/CleanSalesData[[#This Row],[Target]])</f>
        <v>0</v>
      </c>
      <c r="J168" s="2">
        <f>IF(CleanSalesData[[#This Row],[Units_Sold]]=0,0,CleanSalesData[[#This Row],[Corrected Revenue]]/CleanSalesData[[#This Row],[Units_Sold]])</f>
        <v>0</v>
      </c>
    </row>
    <row r="169" spans="1:10" x14ac:dyDescent="0.25">
      <c r="A169" t="s">
        <v>11</v>
      </c>
      <c r="B169" s="3">
        <v>46214</v>
      </c>
      <c r="C169" t="s">
        <v>10</v>
      </c>
      <c r="D169">
        <v>228</v>
      </c>
      <c r="E169">
        <v>6840</v>
      </c>
      <c r="F169">
        <v>5877</v>
      </c>
      <c r="G169">
        <v>6840</v>
      </c>
      <c r="H169" t="str">
        <f>IF(CleanSalesData[[#This Row],[Corrected Revenue]]&gt;CleanSalesData[[#This Row],[Target]], "Good Profit", "Low Profit"  )</f>
        <v>Good Profit</v>
      </c>
      <c r="I169" s="1">
        <f>(CleanSalesData[[#This Row],[Corrected Revenue]]/CleanSalesData[[#This Row],[Target]])</f>
        <v>1.1638591117917305</v>
      </c>
      <c r="J169" s="2">
        <f>IF(CleanSalesData[[#This Row],[Units_Sold]]=0,0,CleanSalesData[[#This Row],[Corrected Revenue]]/CleanSalesData[[#This Row],[Units_Sold]])</f>
        <v>30</v>
      </c>
    </row>
    <row r="170" spans="1:10" x14ac:dyDescent="0.25">
      <c r="A170" t="s">
        <v>11</v>
      </c>
      <c r="B170" s="3">
        <v>46215</v>
      </c>
      <c r="C170" t="s">
        <v>7</v>
      </c>
      <c r="D170">
        <v>147</v>
      </c>
      <c r="E170">
        <v>4410</v>
      </c>
      <c r="F170">
        <v>3745</v>
      </c>
      <c r="G170">
        <v>4410</v>
      </c>
      <c r="H170" t="str">
        <f>IF(CleanSalesData[[#This Row],[Corrected Revenue]]&gt;CleanSalesData[[#This Row],[Target]], "Good Profit", "Low Profit"  )</f>
        <v>Good Profit</v>
      </c>
      <c r="I170" s="1">
        <f>(CleanSalesData[[#This Row],[Corrected Revenue]]/CleanSalesData[[#This Row],[Target]])</f>
        <v>1.1775700934579438</v>
      </c>
      <c r="J170" s="2">
        <f>IF(CleanSalesData[[#This Row],[Units_Sold]]=0,0,CleanSalesData[[#This Row],[Corrected Revenue]]/CleanSalesData[[#This Row],[Units_Sold]])</f>
        <v>30</v>
      </c>
    </row>
    <row r="171" spans="1:10" x14ac:dyDescent="0.25">
      <c r="A171" t="s">
        <v>11</v>
      </c>
      <c r="B171" s="3">
        <v>46215</v>
      </c>
      <c r="C171" t="s">
        <v>8</v>
      </c>
      <c r="D171">
        <v>129</v>
      </c>
      <c r="E171">
        <v>3870</v>
      </c>
      <c r="F171">
        <v>6251</v>
      </c>
      <c r="G171">
        <v>3870</v>
      </c>
      <c r="H171" t="str">
        <f>IF(CleanSalesData[[#This Row],[Corrected Revenue]]&gt;CleanSalesData[[#This Row],[Target]], "Good Profit", "Low Profit"  )</f>
        <v>Low Profit</v>
      </c>
      <c r="I171" s="1">
        <f>(CleanSalesData[[#This Row],[Corrected Revenue]]/CleanSalesData[[#This Row],[Target]])</f>
        <v>0.61910094384898418</v>
      </c>
      <c r="J171" s="2">
        <f>IF(CleanSalesData[[#This Row],[Units_Sold]]=0,0,CleanSalesData[[#This Row],[Corrected Revenue]]/CleanSalesData[[#This Row],[Units_Sold]])</f>
        <v>30</v>
      </c>
    </row>
    <row r="172" spans="1:10" x14ac:dyDescent="0.25">
      <c r="A172" t="s">
        <v>11</v>
      </c>
      <c r="B172" s="3">
        <v>46215</v>
      </c>
      <c r="C172" t="s">
        <v>9</v>
      </c>
      <c r="D172">
        <v>129</v>
      </c>
      <c r="E172">
        <v>3870</v>
      </c>
      <c r="F172">
        <v>3907</v>
      </c>
      <c r="G172">
        <v>3870</v>
      </c>
      <c r="H172" t="str">
        <f>IF(CleanSalesData[[#This Row],[Corrected Revenue]]&gt;CleanSalesData[[#This Row],[Target]], "Good Profit", "Low Profit"  )</f>
        <v>Low Profit</v>
      </c>
      <c r="I172" s="1">
        <f>(CleanSalesData[[#This Row],[Corrected Revenue]]/CleanSalesData[[#This Row],[Target]])</f>
        <v>0.99052981827489117</v>
      </c>
      <c r="J172" s="2">
        <f>IF(CleanSalesData[[#This Row],[Units_Sold]]=0,0,CleanSalesData[[#This Row],[Corrected Revenue]]/CleanSalesData[[#This Row],[Units_Sold]])</f>
        <v>30</v>
      </c>
    </row>
    <row r="173" spans="1:10" x14ac:dyDescent="0.25">
      <c r="A173" t="s">
        <v>11</v>
      </c>
      <c r="B173" s="3">
        <v>46215</v>
      </c>
      <c r="C173" t="s">
        <v>10</v>
      </c>
      <c r="D173">
        <v>195</v>
      </c>
      <c r="E173">
        <v>5850</v>
      </c>
      <c r="F173">
        <v>5090</v>
      </c>
      <c r="G173">
        <v>5850</v>
      </c>
      <c r="H173" t="str">
        <f>IF(CleanSalesData[[#This Row],[Corrected Revenue]]&gt;CleanSalesData[[#This Row],[Target]], "Good Profit", "Low Profit"  )</f>
        <v>Good Profit</v>
      </c>
      <c r="I173" s="1">
        <f>(CleanSalesData[[#This Row],[Corrected Revenue]]/CleanSalesData[[#This Row],[Target]])</f>
        <v>1.1493123772102161</v>
      </c>
      <c r="J173" s="2">
        <f>IF(CleanSalesData[[#This Row],[Units_Sold]]=0,0,CleanSalesData[[#This Row],[Corrected Revenue]]/CleanSalesData[[#This Row],[Units_Sold]])</f>
        <v>30</v>
      </c>
    </row>
    <row r="174" spans="1:10" x14ac:dyDescent="0.25">
      <c r="A174" t="s">
        <v>11</v>
      </c>
      <c r="B174" s="3">
        <v>46216</v>
      </c>
      <c r="C174" t="s">
        <v>7</v>
      </c>
      <c r="D174">
        <v>206</v>
      </c>
      <c r="E174">
        <v>6180</v>
      </c>
      <c r="F174">
        <v>6697</v>
      </c>
      <c r="G174">
        <v>6180</v>
      </c>
      <c r="H174" t="str">
        <f>IF(CleanSalesData[[#This Row],[Corrected Revenue]]&gt;CleanSalesData[[#This Row],[Target]], "Good Profit", "Low Profit"  )</f>
        <v>Low Profit</v>
      </c>
      <c r="I174" s="1">
        <f>(CleanSalesData[[#This Row],[Corrected Revenue]]/CleanSalesData[[#This Row],[Target]])</f>
        <v>0.922801254292967</v>
      </c>
      <c r="J174" s="2">
        <f>IF(CleanSalesData[[#This Row],[Units_Sold]]=0,0,CleanSalesData[[#This Row],[Corrected Revenue]]/CleanSalesData[[#This Row],[Units_Sold]])</f>
        <v>30</v>
      </c>
    </row>
    <row r="175" spans="1:10" x14ac:dyDescent="0.25">
      <c r="A175" t="s">
        <v>11</v>
      </c>
      <c r="B175" s="3">
        <v>46216</v>
      </c>
      <c r="C175" t="s">
        <v>8</v>
      </c>
      <c r="D175">
        <v>138</v>
      </c>
      <c r="E175">
        <v>4140</v>
      </c>
      <c r="F175">
        <v>7357</v>
      </c>
      <c r="G175">
        <v>4140</v>
      </c>
      <c r="H175" t="str">
        <f>IF(CleanSalesData[[#This Row],[Corrected Revenue]]&gt;CleanSalesData[[#This Row],[Target]], "Good Profit", "Low Profit"  )</f>
        <v>Low Profit</v>
      </c>
      <c r="I175" s="1">
        <f>(CleanSalesData[[#This Row],[Corrected Revenue]]/CleanSalesData[[#This Row],[Target]])</f>
        <v>0.56272937338589102</v>
      </c>
      <c r="J175" s="2">
        <f>IF(CleanSalesData[[#This Row],[Units_Sold]]=0,0,CleanSalesData[[#This Row],[Corrected Revenue]]/CleanSalesData[[#This Row],[Units_Sold]])</f>
        <v>30</v>
      </c>
    </row>
    <row r="176" spans="1:10" x14ac:dyDescent="0.25">
      <c r="A176" t="s">
        <v>11</v>
      </c>
      <c r="B176" s="3">
        <v>46216</v>
      </c>
      <c r="C176" t="s">
        <v>9</v>
      </c>
      <c r="D176">
        <v>92</v>
      </c>
      <c r="E176">
        <v>2760</v>
      </c>
      <c r="F176">
        <v>4418</v>
      </c>
      <c r="G176">
        <v>2760</v>
      </c>
      <c r="H176" t="str">
        <f>IF(CleanSalesData[[#This Row],[Corrected Revenue]]&gt;CleanSalesData[[#This Row],[Target]], "Good Profit", "Low Profit"  )</f>
        <v>Low Profit</v>
      </c>
      <c r="I176" s="1">
        <f>(CleanSalesData[[#This Row],[Corrected Revenue]]/CleanSalesData[[#This Row],[Target]])</f>
        <v>0.62471706654594839</v>
      </c>
      <c r="J176" s="2">
        <f>IF(CleanSalesData[[#This Row],[Units_Sold]]=0,0,CleanSalesData[[#This Row],[Corrected Revenue]]/CleanSalesData[[#This Row],[Units_Sold]])</f>
        <v>30</v>
      </c>
    </row>
    <row r="177" spans="1:10" x14ac:dyDescent="0.25">
      <c r="A177" t="s">
        <v>11</v>
      </c>
      <c r="B177" s="3">
        <v>46216</v>
      </c>
      <c r="C177" t="s">
        <v>10</v>
      </c>
      <c r="D177">
        <v>206</v>
      </c>
      <c r="E177">
        <v>6180</v>
      </c>
      <c r="F177">
        <v>3794</v>
      </c>
      <c r="G177">
        <v>6180</v>
      </c>
      <c r="H177" t="str">
        <f>IF(CleanSalesData[[#This Row],[Corrected Revenue]]&gt;CleanSalesData[[#This Row],[Target]], "Good Profit", "Low Profit"  )</f>
        <v>Good Profit</v>
      </c>
      <c r="I177" s="1">
        <f>(CleanSalesData[[#This Row],[Corrected Revenue]]/CleanSalesData[[#This Row],[Target]])</f>
        <v>1.6288877174486032</v>
      </c>
      <c r="J177" s="2">
        <f>IF(CleanSalesData[[#This Row],[Units_Sold]]=0,0,CleanSalesData[[#This Row],[Corrected Revenue]]/CleanSalesData[[#This Row],[Units_Sold]])</f>
        <v>30</v>
      </c>
    </row>
    <row r="178" spans="1:10" x14ac:dyDescent="0.25">
      <c r="A178" t="s">
        <v>11</v>
      </c>
      <c r="B178" s="3">
        <v>46217</v>
      </c>
      <c r="C178" t="s">
        <v>7</v>
      </c>
      <c r="D178">
        <v>127</v>
      </c>
      <c r="E178">
        <v>3810</v>
      </c>
      <c r="F178">
        <v>6445</v>
      </c>
      <c r="G178">
        <v>3810</v>
      </c>
      <c r="H178" t="str">
        <f>IF(CleanSalesData[[#This Row],[Corrected Revenue]]&gt;CleanSalesData[[#This Row],[Target]], "Good Profit", "Low Profit"  )</f>
        <v>Low Profit</v>
      </c>
      <c r="I178" s="1">
        <f>(CleanSalesData[[#This Row],[Corrected Revenue]]/CleanSalesData[[#This Row],[Target]])</f>
        <v>0.59115593483320406</v>
      </c>
      <c r="J178" s="2">
        <f>IF(CleanSalesData[[#This Row],[Units_Sold]]=0,0,CleanSalesData[[#This Row],[Corrected Revenue]]/CleanSalesData[[#This Row],[Units_Sold]])</f>
        <v>30</v>
      </c>
    </row>
    <row r="179" spans="1:10" x14ac:dyDescent="0.25">
      <c r="A179" t="s">
        <v>11</v>
      </c>
      <c r="B179" s="3">
        <v>46217</v>
      </c>
      <c r="C179" t="s">
        <v>8</v>
      </c>
      <c r="D179">
        <v>157</v>
      </c>
      <c r="E179">
        <v>4710</v>
      </c>
      <c r="F179">
        <v>5068</v>
      </c>
      <c r="G179">
        <v>4710</v>
      </c>
      <c r="H179" t="str">
        <f>IF(CleanSalesData[[#This Row],[Corrected Revenue]]&gt;CleanSalesData[[#This Row],[Target]], "Good Profit", "Low Profit"  )</f>
        <v>Low Profit</v>
      </c>
      <c r="I179" s="1">
        <f>(CleanSalesData[[#This Row],[Corrected Revenue]]/CleanSalesData[[#This Row],[Target]])</f>
        <v>0.92936069455406467</v>
      </c>
      <c r="J179" s="2">
        <f>IF(CleanSalesData[[#This Row],[Units_Sold]]=0,0,CleanSalesData[[#This Row],[Corrected Revenue]]/CleanSalesData[[#This Row],[Units_Sold]])</f>
        <v>30</v>
      </c>
    </row>
    <row r="180" spans="1:10" x14ac:dyDescent="0.25">
      <c r="A180" t="s">
        <v>11</v>
      </c>
      <c r="B180" s="3">
        <v>46217</v>
      </c>
      <c r="C180" t="s">
        <v>9</v>
      </c>
      <c r="D180">
        <v>122</v>
      </c>
      <c r="E180">
        <v>3660</v>
      </c>
      <c r="F180">
        <v>6947</v>
      </c>
      <c r="G180">
        <v>3660</v>
      </c>
      <c r="H180" t="str">
        <f>IF(CleanSalesData[[#This Row],[Corrected Revenue]]&gt;CleanSalesData[[#This Row],[Target]], "Good Profit", "Low Profit"  )</f>
        <v>Low Profit</v>
      </c>
      <c r="I180" s="1">
        <f>(CleanSalesData[[#This Row],[Corrected Revenue]]/CleanSalesData[[#This Row],[Target]])</f>
        <v>0.52684612062760905</v>
      </c>
      <c r="J180" s="2">
        <f>IF(CleanSalesData[[#This Row],[Units_Sold]]=0,0,CleanSalesData[[#This Row],[Corrected Revenue]]/CleanSalesData[[#This Row],[Units_Sold]])</f>
        <v>30</v>
      </c>
    </row>
    <row r="181" spans="1:10" x14ac:dyDescent="0.25">
      <c r="A181" t="s">
        <v>11</v>
      </c>
      <c r="B181" s="3">
        <v>46217</v>
      </c>
      <c r="C181" t="s">
        <v>10</v>
      </c>
      <c r="D181">
        <v>181</v>
      </c>
      <c r="E181">
        <v>5430</v>
      </c>
      <c r="F181">
        <v>3318</v>
      </c>
      <c r="G181">
        <v>5430</v>
      </c>
      <c r="H181" t="str">
        <f>IF(CleanSalesData[[#This Row],[Corrected Revenue]]&gt;CleanSalesData[[#This Row],[Target]], "Good Profit", "Low Profit"  )</f>
        <v>Good Profit</v>
      </c>
      <c r="I181" s="1">
        <f>(CleanSalesData[[#This Row],[Corrected Revenue]]/CleanSalesData[[#This Row],[Target]])</f>
        <v>1.6365280289330921</v>
      </c>
      <c r="J181" s="2">
        <f>IF(CleanSalesData[[#This Row],[Units_Sold]]=0,0,CleanSalesData[[#This Row],[Corrected Revenue]]/CleanSalesData[[#This Row],[Units_Sold]])</f>
        <v>30</v>
      </c>
    </row>
    <row r="182" spans="1:10" x14ac:dyDescent="0.25">
      <c r="A182" t="s">
        <v>11</v>
      </c>
      <c r="B182" s="3">
        <v>46218</v>
      </c>
      <c r="C182" t="s">
        <v>7</v>
      </c>
      <c r="D182">
        <v>0</v>
      </c>
      <c r="E182">
        <v>4500</v>
      </c>
      <c r="F182">
        <v>4983</v>
      </c>
      <c r="G182">
        <v>0</v>
      </c>
      <c r="H182" t="str">
        <f>IF(CleanSalesData[[#This Row],[Corrected Revenue]]&gt;CleanSalesData[[#This Row],[Target]], "Good Profit", "Low Profit"  )</f>
        <v>Low Profit</v>
      </c>
      <c r="I182" s="1">
        <f>(CleanSalesData[[#This Row],[Corrected Revenue]]/CleanSalesData[[#This Row],[Target]])</f>
        <v>0</v>
      </c>
      <c r="J182" s="2">
        <f>IF(CleanSalesData[[#This Row],[Units_Sold]]=0,0,CleanSalesData[[#This Row],[Corrected Revenue]]/CleanSalesData[[#This Row],[Units_Sold]])</f>
        <v>0</v>
      </c>
    </row>
    <row r="183" spans="1:10" x14ac:dyDescent="0.25">
      <c r="A183" t="s">
        <v>11</v>
      </c>
      <c r="B183" s="3">
        <v>46218</v>
      </c>
      <c r="C183" t="s">
        <v>8</v>
      </c>
      <c r="D183">
        <v>88</v>
      </c>
      <c r="E183">
        <v>2640</v>
      </c>
      <c r="F183">
        <v>6919</v>
      </c>
      <c r="G183">
        <v>2640</v>
      </c>
      <c r="H183" t="str">
        <f>IF(CleanSalesData[[#This Row],[Corrected Revenue]]&gt;CleanSalesData[[#This Row],[Target]], "Good Profit", "Low Profit"  )</f>
        <v>Low Profit</v>
      </c>
      <c r="I183" s="1">
        <f>(CleanSalesData[[#This Row],[Corrected Revenue]]/CleanSalesData[[#This Row],[Target]])</f>
        <v>0.38155802861685217</v>
      </c>
      <c r="J183" s="2">
        <f>IF(CleanSalesData[[#This Row],[Units_Sold]]=0,0,CleanSalesData[[#This Row],[Corrected Revenue]]/CleanSalesData[[#This Row],[Units_Sold]])</f>
        <v>30</v>
      </c>
    </row>
    <row r="184" spans="1:10" x14ac:dyDescent="0.25">
      <c r="A184" t="s">
        <v>11</v>
      </c>
      <c r="B184" s="3">
        <v>46218</v>
      </c>
      <c r="C184" t="s">
        <v>9</v>
      </c>
      <c r="D184">
        <v>170</v>
      </c>
      <c r="E184">
        <v>5100</v>
      </c>
      <c r="F184">
        <v>4525</v>
      </c>
      <c r="G184">
        <v>5100</v>
      </c>
      <c r="H184" t="str">
        <f>IF(CleanSalesData[[#This Row],[Corrected Revenue]]&gt;CleanSalesData[[#This Row],[Target]], "Good Profit", "Low Profit"  )</f>
        <v>Good Profit</v>
      </c>
      <c r="I184" s="1">
        <f>(CleanSalesData[[#This Row],[Corrected Revenue]]/CleanSalesData[[#This Row],[Target]])</f>
        <v>1.1270718232044199</v>
      </c>
      <c r="J184" s="2">
        <f>IF(CleanSalesData[[#This Row],[Units_Sold]]=0,0,CleanSalesData[[#This Row],[Corrected Revenue]]/CleanSalesData[[#This Row],[Units_Sold]])</f>
        <v>30</v>
      </c>
    </row>
    <row r="185" spans="1:10" x14ac:dyDescent="0.25">
      <c r="A185" t="s">
        <v>11</v>
      </c>
      <c r="B185" s="3">
        <v>46218</v>
      </c>
      <c r="C185" t="s">
        <v>10</v>
      </c>
      <c r="D185">
        <v>172</v>
      </c>
      <c r="E185">
        <v>5160</v>
      </c>
      <c r="F185">
        <v>4161</v>
      </c>
      <c r="G185">
        <v>5160</v>
      </c>
      <c r="H185" t="str">
        <f>IF(CleanSalesData[[#This Row],[Corrected Revenue]]&gt;CleanSalesData[[#This Row],[Target]], "Good Profit", "Low Profit"  )</f>
        <v>Good Profit</v>
      </c>
      <c r="I185" s="1">
        <f>(CleanSalesData[[#This Row],[Corrected Revenue]]/CleanSalesData[[#This Row],[Target]])</f>
        <v>1.240086517664023</v>
      </c>
      <c r="J185" s="2">
        <f>IF(CleanSalesData[[#This Row],[Units_Sold]]=0,0,CleanSalesData[[#This Row],[Corrected Revenue]]/CleanSalesData[[#This Row],[Units_Sold]])</f>
        <v>30</v>
      </c>
    </row>
    <row r="186" spans="1:10" x14ac:dyDescent="0.25">
      <c r="A186" t="s">
        <v>11</v>
      </c>
      <c r="B186" s="3">
        <v>46219</v>
      </c>
      <c r="C186" t="s">
        <v>7</v>
      </c>
      <c r="D186">
        <v>184</v>
      </c>
      <c r="E186">
        <v>5520</v>
      </c>
      <c r="F186">
        <v>6462</v>
      </c>
      <c r="G186">
        <v>5520</v>
      </c>
      <c r="H186" t="str">
        <f>IF(CleanSalesData[[#This Row],[Corrected Revenue]]&gt;CleanSalesData[[#This Row],[Target]], "Good Profit", "Low Profit"  )</f>
        <v>Low Profit</v>
      </c>
      <c r="I186" s="1">
        <f>(CleanSalesData[[#This Row],[Corrected Revenue]]/CleanSalesData[[#This Row],[Target]])</f>
        <v>0.85422469823584035</v>
      </c>
      <c r="J186" s="2">
        <f>IF(CleanSalesData[[#This Row],[Units_Sold]]=0,0,CleanSalesData[[#This Row],[Corrected Revenue]]/CleanSalesData[[#This Row],[Units_Sold]])</f>
        <v>30</v>
      </c>
    </row>
    <row r="187" spans="1:10" x14ac:dyDescent="0.25">
      <c r="A187" t="s">
        <v>11</v>
      </c>
      <c r="B187" s="3">
        <v>46219</v>
      </c>
      <c r="C187" t="s">
        <v>8</v>
      </c>
      <c r="D187">
        <v>147</v>
      </c>
      <c r="E187">
        <v>4410</v>
      </c>
      <c r="F187">
        <v>6151</v>
      </c>
      <c r="G187">
        <v>4410</v>
      </c>
      <c r="H187" t="str">
        <f>IF(CleanSalesData[[#This Row],[Corrected Revenue]]&gt;CleanSalesData[[#This Row],[Target]], "Good Profit", "Low Profit"  )</f>
        <v>Low Profit</v>
      </c>
      <c r="I187" s="1">
        <f>(CleanSalesData[[#This Row],[Corrected Revenue]]/CleanSalesData[[#This Row],[Target]])</f>
        <v>0.71695659242399612</v>
      </c>
      <c r="J187" s="2">
        <f>IF(CleanSalesData[[#This Row],[Units_Sold]]=0,0,CleanSalesData[[#This Row],[Corrected Revenue]]/CleanSalesData[[#This Row],[Units_Sold]])</f>
        <v>30</v>
      </c>
    </row>
    <row r="188" spans="1:10" x14ac:dyDescent="0.25">
      <c r="A188" t="s">
        <v>11</v>
      </c>
      <c r="B188" s="3">
        <v>46219</v>
      </c>
      <c r="C188" t="s">
        <v>9</v>
      </c>
      <c r="D188">
        <v>220</v>
      </c>
      <c r="E188">
        <v>6600</v>
      </c>
      <c r="F188">
        <v>4293</v>
      </c>
      <c r="G188">
        <v>6600</v>
      </c>
      <c r="H188" t="str">
        <f>IF(CleanSalesData[[#This Row],[Corrected Revenue]]&gt;CleanSalesData[[#This Row],[Target]], "Good Profit", "Low Profit"  )</f>
        <v>Good Profit</v>
      </c>
      <c r="I188" s="1">
        <f>(CleanSalesData[[#This Row],[Corrected Revenue]]/CleanSalesData[[#This Row],[Target]])</f>
        <v>1.5373864430468205</v>
      </c>
      <c r="J188" s="2">
        <f>IF(CleanSalesData[[#This Row],[Units_Sold]]=0,0,CleanSalesData[[#This Row],[Corrected Revenue]]/CleanSalesData[[#This Row],[Units_Sold]])</f>
        <v>30</v>
      </c>
    </row>
    <row r="189" spans="1:10" x14ac:dyDescent="0.25">
      <c r="A189" t="s">
        <v>11</v>
      </c>
      <c r="B189" s="3">
        <v>46219</v>
      </c>
      <c r="C189" t="s">
        <v>10</v>
      </c>
      <c r="D189">
        <v>0</v>
      </c>
      <c r="E189">
        <v>4500</v>
      </c>
      <c r="F189">
        <v>7786</v>
      </c>
      <c r="G189">
        <v>0</v>
      </c>
      <c r="H189" t="str">
        <f>IF(CleanSalesData[[#This Row],[Corrected Revenue]]&gt;CleanSalesData[[#This Row],[Target]], "Good Profit", "Low Profit"  )</f>
        <v>Low Profit</v>
      </c>
      <c r="I189" s="1">
        <f>(CleanSalesData[[#This Row],[Corrected Revenue]]/CleanSalesData[[#This Row],[Target]])</f>
        <v>0</v>
      </c>
      <c r="J189" s="2">
        <f>IF(CleanSalesData[[#This Row],[Units_Sold]]=0,0,CleanSalesData[[#This Row],[Corrected Revenue]]/CleanSalesData[[#This Row],[Units_Sold]])</f>
        <v>0</v>
      </c>
    </row>
    <row r="190" spans="1:10" x14ac:dyDescent="0.25">
      <c r="A190" t="s">
        <v>11</v>
      </c>
      <c r="B190" s="3">
        <v>46220</v>
      </c>
      <c r="C190" t="s">
        <v>7</v>
      </c>
      <c r="D190">
        <v>179</v>
      </c>
      <c r="E190">
        <v>5370</v>
      </c>
      <c r="F190">
        <v>6368</v>
      </c>
      <c r="G190">
        <v>5370</v>
      </c>
      <c r="H190" t="str">
        <f>IF(CleanSalesData[[#This Row],[Corrected Revenue]]&gt;CleanSalesData[[#This Row],[Target]], "Good Profit", "Low Profit"  )</f>
        <v>Low Profit</v>
      </c>
      <c r="I190" s="1">
        <f>(CleanSalesData[[#This Row],[Corrected Revenue]]/CleanSalesData[[#This Row],[Target]])</f>
        <v>0.84327889447236182</v>
      </c>
      <c r="J190" s="2">
        <f>IF(CleanSalesData[[#This Row],[Units_Sold]]=0,0,CleanSalesData[[#This Row],[Corrected Revenue]]/CleanSalesData[[#This Row],[Units_Sold]])</f>
        <v>30</v>
      </c>
    </row>
    <row r="191" spans="1:10" x14ac:dyDescent="0.25">
      <c r="A191" t="s">
        <v>11</v>
      </c>
      <c r="B191" s="3">
        <v>46220</v>
      </c>
      <c r="C191" t="s">
        <v>8</v>
      </c>
      <c r="D191">
        <v>242</v>
      </c>
      <c r="E191">
        <v>7260</v>
      </c>
      <c r="F191">
        <v>3975</v>
      </c>
      <c r="G191">
        <v>7260</v>
      </c>
      <c r="H191" t="str">
        <f>IF(CleanSalesData[[#This Row],[Corrected Revenue]]&gt;CleanSalesData[[#This Row],[Target]], "Good Profit", "Low Profit"  )</f>
        <v>Good Profit</v>
      </c>
      <c r="I191" s="1">
        <f>(CleanSalesData[[#This Row],[Corrected Revenue]]/CleanSalesData[[#This Row],[Target]])</f>
        <v>1.8264150943396227</v>
      </c>
      <c r="J191" s="2">
        <f>IF(CleanSalesData[[#This Row],[Units_Sold]]=0,0,CleanSalesData[[#This Row],[Corrected Revenue]]/CleanSalesData[[#This Row],[Units_Sold]])</f>
        <v>30</v>
      </c>
    </row>
    <row r="192" spans="1:10" x14ac:dyDescent="0.25">
      <c r="A192" t="s">
        <v>11</v>
      </c>
      <c r="B192" s="3">
        <v>46220</v>
      </c>
      <c r="C192" t="s">
        <v>9</v>
      </c>
      <c r="D192">
        <v>185</v>
      </c>
      <c r="E192">
        <v>5550</v>
      </c>
      <c r="F192">
        <v>5418</v>
      </c>
      <c r="G192">
        <v>5550</v>
      </c>
      <c r="H192" t="str">
        <f>IF(CleanSalesData[[#This Row],[Corrected Revenue]]&gt;CleanSalesData[[#This Row],[Target]], "Good Profit", "Low Profit"  )</f>
        <v>Good Profit</v>
      </c>
      <c r="I192" s="1">
        <f>(CleanSalesData[[#This Row],[Corrected Revenue]]/CleanSalesData[[#This Row],[Target]])</f>
        <v>1.0243632336655593</v>
      </c>
      <c r="J192" s="2">
        <f>IF(CleanSalesData[[#This Row],[Units_Sold]]=0,0,CleanSalesData[[#This Row],[Corrected Revenue]]/CleanSalesData[[#This Row],[Units_Sold]])</f>
        <v>30</v>
      </c>
    </row>
    <row r="193" spans="1:10" x14ac:dyDescent="0.25">
      <c r="A193" t="s">
        <v>11</v>
      </c>
      <c r="B193" s="3">
        <v>46220</v>
      </c>
      <c r="C193" t="s">
        <v>10</v>
      </c>
      <c r="D193">
        <v>137</v>
      </c>
      <c r="E193">
        <v>4110</v>
      </c>
      <c r="F193">
        <v>6970</v>
      </c>
      <c r="G193">
        <v>4110</v>
      </c>
      <c r="H193" t="str">
        <f>IF(CleanSalesData[[#This Row],[Corrected Revenue]]&gt;CleanSalesData[[#This Row],[Target]], "Good Profit", "Low Profit"  )</f>
        <v>Low Profit</v>
      </c>
      <c r="I193" s="1">
        <f>(CleanSalesData[[#This Row],[Corrected Revenue]]/CleanSalesData[[#This Row],[Target]])</f>
        <v>0.58967001434720234</v>
      </c>
      <c r="J193" s="2">
        <f>IF(CleanSalesData[[#This Row],[Units_Sold]]=0,0,CleanSalesData[[#This Row],[Corrected Revenue]]/CleanSalesData[[#This Row],[Units_Sold]])</f>
        <v>30</v>
      </c>
    </row>
    <row r="194" spans="1:10" x14ac:dyDescent="0.25">
      <c r="A194" t="s">
        <v>11</v>
      </c>
      <c r="B194" s="3">
        <v>46221</v>
      </c>
      <c r="C194" t="s">
        <v>7</v>
      </c>
      <c r="D194">
        <v>119</v>
      </c>
      <c r="E194">
        <v>3570</v>
      </c>
      <c r="F194">
        <v>7730</v>
      </c>
      <c r="G194">
        <v>3570</v>
      </c>
      <c r="H194" t="str">
        <f>IF(CleanSalesData[[#This Row],[Corrected Revenue]]&gt;CleanSalesData[[#This Row],[Target]], "Good Profit", "Low Profit"  )</f>
        <v>Low Profit</v>
      </c>
      <c r="I194" s="1">
        <f>(CleanSalesData[[#This Row],[Corrected Revenue]]/CleanSalesData[[#This Row],[Target]])</f>
        <v>0.46183699870633893</v>
      </c>
      <c r="J194" s="2">
        <f>IF(CleanSalesData[[#This Row],[Units_Sold]]=0,0,CleanSalesData[[#This Row],[Corrected Revenue]]/CleanSalesData[[#This Row],[Units_Sold]])</f>
        <v>30</v>
      </c>
    </row>
    <row r="195" spans="1:10" x14ac:dyDescent="0.25">
      <c r="A195" t="s">
        <v>11</v>
      </c>
      <c r="B195" s="3">
        <v>46221</v>
      </c>
      <c r="C195" t="s">
        <v>8</v>
      </c>
      <c r="D195">
        <v>157</v>
      </c>
      <c r="E195">
        <v>4710</v>
      </c>
      <c r="F195">
        <v>3427</v>
      </c>
      <c r="G195">
        <v>4710</v>
      </c>
      <c r="H195" t="str">
        <f>IF(CleanSalesData[[#This Row],[Corrected Revenue]]&gt;CleanSalesData[[#This Row],[Target]], "Good Profit", "Low Profit"  )</f>
        <v>Good Profit</v>
      </c>
      <c r="I195" s="1">
        <f>(CleanSalesData[[#This Row],[Corrected Revenue]]/CleanSalesData[[#This Row],[Target]])</f>
        <v>1.3743799241318937</v>
      </c>
      <c r="J195" s="2">
        <f>IF(CleanSalesData[[#This Row],[Units_Sold]]=0,0,CleanSalesData[[#This Row],[Corrected Revenue]]/CleanSalesData[[#This Row],[Units_Sold]])</f>
        <v>30</v>
      </c>
    </row>
    <row r="196" spans="1:10" x14ac:dyDescent="0.25">
      <c r="A196" t="s">
        <v>11</v>
      </c>
      <c r="B196" s="3">
        <v>46221</v>
      </c>
      <c r="C196" t="s">
        <v>9</v>
      </c>
      <c r="D196">
        <v>132</v>
      </c>
      <c r="E196">
        <v>3960</v>
      </c>
      <c r="F196">
        <v>4053</v>
      </c>
      <c r="G196">
        <v>3960</v>
      </c>
      <c r="H196" t="str">
        <f>IF(CleanSalesData[[#This Row],[Corrected Revenue]]&gt;CleanSalesData[[#This Row],[Target]], "Good Profit", "Low Profit"  )</f>
        <v>Low Profit</v>
      </c>
      <c r="I196" s="1">
        <f>(CleanSalesData[[#This Row],[Corrected Revenue]]/CleanSalesData[[#This Row],[Target]])</f>
        <v>0.97705403404885272</v>
      </c>
      <c r="J196" s="2">
        <f>IF(CleanSalesData[[#This Row],[Units_Sold]]=0,0,CleanSalesData[[#This Row],[Corrected Revenue]]/CleanSalesData[[#This Row],[Units_Sold]])</f>
        <v>30</v>
      </c>
    </row>
    <row r="197" spans="1:10" x14ac:dyDescent="0.25">
      <c r="A197" t="s">
        <v>11</v>
      </c>
      <c r="B197" s="3">
        <v>46221</v>
      </c>
      <c r="C197" t="s">
        <v>10</v>
      </c>
      <c r="D197">
        <v>140</v>
      </c>
      <c r="E197">
        <v>4200</v>
      </c>
      <c r="F197">
        <v>3741</v>
      </c>
      <c r="G197">
        <v>4200</v>
      </c>
      <c r="H197" t="str">
        <f>IF(CleanSalesData[[#This Row],[Corrected Revenue]]&gt;CleanSalesData[[#This Row],[Target]], "Good Profit", "Low Profit"  )</f>
        <v>Good Profit</v>
      </c>
      <c r="I197" s="1">
        <f>(CleanSalesData[[#This Row],[Corrected Revenue]]/CleanSalesData[[#This Row],[Target]])</f>
        <v>1.1226944667201284</v>
      </c>
      <c r="J197" s="2">
        <f>IF(CleanSalesData[[#This Row],[Units_Sold]]=0,0,CleanSalesData[[#This Row],[Corrected Revenue]]/CleanSalesData[[#This Row],[Units_Sold]])</f>
        <v>30</v>
      </c>
    </row>
    <row r="198" spans="1:10" x14ac:dyDescent="0.25">
      <c r="A198" t="s">
        <v>11</v>
      </c>
      <c r="B198" s="3">
        <v>46222</v>
      </c>
      <c r="C198" t="s">
        <v>7</v>
      </c>
      <c r="D198">
        <v>95</v>
      </c>
      <c r="E198">
        <v>2850</v>
      </c>
      <c r="F198">
        <v>5011</v>
      </c>
      <c r="G198">
        <v>2850</v>
      </c>
      <c r="H198" t="str">
        <f>IF(CleanSalesData[[#This Row],[Corrected Revenue]]&gt;CleanSalesData[[#This Row],[Target]], "Good Profit", "Low Profit"  )</f>
        <v>Low Profit</v>
      </c>
      <c r="I198" s="1">
        <f>(CleanSalesData[[#This Row],[Corrected Revenue]]/CleanSalesData[[#This Row],[Target]])</f>
        <v>0.5687487527439633</v>
      </c>
      <c r="J198" s="2">
        <f>IF(CleanSalesData[[#This Row],[Units_Sold]]=0,0,CleanSalesData[[#This Row],[Corrected Revenue]]/CleanSalesData[[#This Row],[Units_Sold]])</f>
        <v>30</v>
      </c>
    </row>
    <row r="199" spans="1:10" x14ac:dyDescent="0.25">
      <c r="A199" t="s">
        <v>11</v>
      </c>
      <c r="B199" s="3">
        <v>46222</v>
      </c>
      <c r="C199" t="s">
        <v>8</v>
      </c>
      <c r="D199">
        <v>119</v>
      </c>
      <c r="E199">
        <v>3570</v>
      </c>
      <c r="F199">
        <v>7892</v>
      </c>
      <c r="G199">
        <v>3570</v>
      </c>
      <c r="H199" t="str">
        <f>IF(CleanSalesData[[#This Row],[Corrected Revenue]]&gt;CleanSalesData[[#This Row],[Target]], "Good Profit", "Low Profit"  )</f>
        <v>Low Profit</v>
      </c>
      <c r="I199" s="1">
        <f>(CleanSalesData[[#This Row],[Corrected Revenue]]/CleanSalesData[[#This Row],[Target]])</f>
        <v>0.45235681702990371</v>
      </c>
      <c r="J199" s="2">
        <f>IF(CleanSalesData[[#This Row],[Units_Sold]]=0,0,CleanSalesData[[#This Row],[Corrected Revenue]]/CleanSalesData[[#This Row],[Units_Sold]])</f>
        <v>30</v>
      </c>
    </row>
    <row r="200" spans="1:10" x14ac:dyDescent="0.25">
      <c r="A200" t="s">
        <v>11</v>
      </c>
      <c r="B200" s="3">
        <v>46222</v>
      </c>
      <c r="C200" t="s">
        <v>9</v>
      </c>
      <c r="D200">
        <v>112</v>
      </c>
      <c r="E200">
        <v>3360</v>
      </c>
      <c r="F200">
        <v>5008</v>
      </c>
      <c r="G200">
        <v>3360</v>
      </c>
      <c r="H200" t="str">
        <f>IF(CleanSalesData[[#This Row],[Corrected Revenue]]&gt;CleanSalesData[[#This Row],[Target]], "Good Profit", "Low Profit"  )</f>
        <v>Low Profit</v>
      </c>
      <c r="I200" s="1">
        <f>(CleanSalesData[[#This Row],[Corrected Revenue]]/CleanSalesData[[#This Row],[Target]])</f>
        <v>0.67092651757188504</v>
      </c>
      <c r="J200" s="2">
        <f>IF(CleanSalesData[[#This Row],[Units_Sold]]=0,0,CleanSalesData[[#This Row],[Corrected Revenue]]/CleanSalesData[[#This Row],[Units_Sold]])</f>
        <v>30</v>
      </c>
    </row>
    <row r="201" spans="1:10" x14ac:dyDescent="0.25">
      <c r="A201" t="s">
        <v>11</v>
      </c>
      <c r="B201" s="3">
        <v>46222</v>
      </c>
      <c r="C201" t="s">
        <v>10</v>
      </c>
      <c r="D201">
        <v>197</v>
      </c>
      <c r="E201">
        <v>-5910</v>
      </c>
      <c r="F201">
        <v>3378</v>
      </c>
      <c r="G201">
        <v>5910</v>
      </c>
      <c r="H201" t="str">
        <f>IF(CleanSalesData[[#This Row],[Corrected Revenue]]&gt;CleanSalesData[[#This Row],[Target]], "Good Profit", "Low Profit"  )</f>
        <v>Good Profit</v>
      </c>
      <c r="I201" s="1">
        <f>(CleanSalesData[[#This Row],[Corrected Revenue]]/CleanSalesData[[#This Row],[Target]])</f>
        <v>1.7495559502664297</v>
      </c>
      <c r="J201" s="2">
        <f>IF(CleanSalesData[[#This Row],[Units_Sold]]=0,0,CleanSalesData[[#This Row],[Corrected Revenue]]/CleanSalesData[[#This Row],[Units_Sold]])</f>
        <v>30</v>
      </c>
    </row>
    <row r="202" spans="1:10" x14ac:dyDescent="0.25">
      <c r="A202" t="s">
        <v>11</v>
      </c>
      <c r="B202" s="3">
        <v>46223</v>
      </c>
      <c r="C202" t="s">
        <v>7</v>
      </c>
      <c r="D202">
        <v>151</v>
      </c>
      <c r="E202">
        <v>4530</v>
      </c>
      <c r="F202">
        <v>3904</v>
      </c>
      <c r="G202">
        <v>4530</v>
      </c>
      <c r="H202" t="str">
        <f>IF(CleanSalesData[[#This Row],[Corrected Revenue]]&gt;CleanSalesData[[#This Row],[Target]], "Good Profit", "Low Profit"  )</f>
        <v>Good Profit</v>
      </c>
      <c r="I202" s="1">
        <f>(CleanSalesData[[#This Row],[Corrected Revenue]]/CleanSalesData[[#This Row],[Target]])</f>
        <v>1.1603483606557377</v>
      </c>
      <c r="J202" s="2">
        <f>IF(CleanSalesData[[#This Row],[Units_Sold]]=0,0,CleanSalesData[[#This Row],[Corrected Revenue]]/CleanSalesData[[#This Row],[Units_Sold]])</f>
        <v>30</v>
      </c>
    </row>
    <row r="203" spans="1:10" x14ac:dyDescent="0.25">
      <c r="A203" t="s">
        <v>11</v>
      </c>
      <c r="B203" s="3">
        <v>46223</v>
      </c>
      <c r="C203" t="s">
        <v>8</v>
      </c>
      <c r="D203">
        <v>192</v>
      </c>
      <c r="E203">
        <v>5760</v>
      </c>
      <c r="F203">
        <v>5070</v>
      </c>
      <c r="G203">
        <v>5760</v>
      </c>
      <c r="H203" t="str">
        <f>IF(CleanSalesData[[#This Row],[Corrected Revenue]]&gt;CleanSalesData[[#This Row],[Target]], "Good Profit", "Low Profit"  )</f>
        <v>Good Profit</v>
      </c>
      <c r="I203" s="1">
        <f>(CleanSalesData[[#This Row],[Corrected Revenue]]/CleanSalesData[[#This Row],[Target]])</f>
        <v>1.136094674556213</v>
      </c>
      <c r="J203" s="2">
        <f>IF(CleanSalesData[[#This Row],[Units_Sold]]=0,0,CleanSalesData[[#This Row],[Corrected Revenue]]/CleanSalesData[[#This Row],[Units_Sold]])</f>
        <v>30</v>
      </c>
    </row>
    <row r="204" spans="1:10" x14ac:dyDescent="0.25">
      <c r="A204" t="s">
        <v>11</v>
      </c>
      <c r="B204" s="3">
        <v>46223</v>
      </c>
      <c r="C204" t="s">
        <v>9</v>
      </c>
      <c r="D204">
        <v>144</v>
      </c>
      <c r="E204">
        <v>4320</v>
      </c>
      <c r="F204">
        <v>7614</v>
      </c>
      <c r="G204">
        <v>4320</v>
      </c>
      <c r="H204" t="str">
        <f>IF(CleanSalesData[[#This Row],[Corrected Revenue]]&gt;CleanSalesData[[#This Row],[Target]], "Good Profit", "Low Profit"  )</f>
        <v>Low Profit</v>
      </c>
      <c r="I204" s="1">
        <f>(CleanSalesData[[#This Row],[Corrected Revenue]]/CleanSalesData[[#This Row],[Target]])</f>
        <v>0.56737588652482274</v>
      </c>
      <c r="J204" s="2">
        <f>IF(CleanSalesData[[#This Row],[Units_Sold]]=0,0,CleanSalesData[[#This Row],[Corrected Revenue]]/CleanSalesData[[#This Row],[Units_Sold]])</f>
        <v>30</v>
      </c>
    </row>
    <row r="205" spans="1:10" x14ac:dyDescent="0.25">
      <c r="A205" t="s">
        <v>11</v>
      </c>
      <c r="B205" s="3">
        <v>46223</v>
      </c>
      <c r="C205" t="s">
        <v>10</v>
      </c>
      <c r="D205">
        <v>138</v>
      </c>
      <c r="E205">
        <v>4140</v>
      </c>
      <c r="F205">
        <v>7461</v>
      </c>
      <c r="G205">
        <v>4140</v>
      </c>
      <c r="H205" t="str">
        <f>IF(CleanSalesData[[#This Row],[Corrected Revenue]]&gt;CleanSalesData[[#This Row],[Target]], "Good Profit", "Low Profit"  )</f>
        <v>Low Profit</v>
      </c>
      <c r="I205" s="1">
        <f>(CleanSalesData[[#This Row],[Corrected Revenue]]/CleanSalesData[[#This Row],[Target]])</f>
        <v>0.55488540410132692</v>
      </c>
      <c r="J205" s="2">
        <f>IF(CleanSalesData[[#This Row],[Units_Sold]]=0,0,CleanSalesData[[#This Row],[Corrected Revenue]]/CleanSalesData[[#This Row],[Units_Sold]])</f>
        <v>30</v>
      </c>
    </row>
    <row r="206" spans="1:10" x14ac:dyDescent="0.25">
      <c r="A206" t="s">
        <v>11</v>
      </c>
      <c r="B206" s="3">
        <v>46224</v>
      </c>
      <c r="C206" t="s">
        <v>7</v>
      </c>
      <c r="D206">
        <v>154</v>
      </c>
      <c r="E206">
        <v>4620</v>
      </c>
      <c r="F206">
        <v>7420</v>
      </c>
      <c r="G206">
        <v>4620</v>
      </c>
      <c r="H206" t="str">
        <f>IF(CleanSalesData[[#This Row],[Corrected Revenue]]&gt;CleanSalesData[[#This Row],[Target]], "Good Profit", "Low Profit"  )</f>
        <v>Low Profit</v>
      </c>
      <c r="I206" s="1">
        <f>(CleanSalesData[[#This Row],[Corrected Revenue]]/CleanSalesData[[#This Row],[Target]])</f>
        <v>0.62264150943396224</v>
      </c>
      <c r="J206" s="2">
        <f>IF(CleanSalesData[[#This Row],[Units_Sold]]=0,0,CleanSalesData[[#This Row],[Corrected Revenue]]/CleanSalesData[[#This Row],[Units_Sold]])</f>
        <v>30</v>
      </c>
    </row>
    <row r="207" spans="1:10" x14ac:dyDescent="0.25">
      <c r="A207" t="s">
        <v>11</v>
      </c>
      <c r="B207" s="3">
        <v>46224</v>
      </c>
      <c r="C207" t="s">
        <v>8</v>
      </c>
      <c r="D207">
        <v>191</v>
      </c>
      <c r="E207">
        <v>5730</v>
      </c>
      <c r="F207">
        <v>7024</v>
      </c>
      <c r="G207">
        <v>5730</v>
      </c>
      <c r="H207" t="str">
        <f>IF(CleanSalesData[[#This Row],[Corrected Revenue]]&gt;CleanSalesData[[#This Row],[Target]], "Good Profit", "Low Profit"  )</f>
        <v>Low Profit</v>
      </c>
      <c r="I207" s="1">
        <f>(CleanSalesData[[#This Row],[Corrected Revenue]]/CleanSalesData[[#This Row],[Target]])</f>
        <v>0.81577448747152614</v>
      </c>
      <c r="J207" s="2">
        <f>IF(CleanSalesData[[#This Row],[Units_Sold]]=0,0,CleanSalesData[[#This Row],[Corrected Revenue]]/CleanSalesData[[#This Row],[Units_Sold]])</f>
        <v>30</v>
      </c>
    </row>
    <row r="208" spans="1:10" x14ac:dyDescent="0.25">
      <c r="A208" t="s">
        <v>11</v>
      </c>
      <c r="B208" s="3">
        <v>46224</v>
      </c>
      <c r="C208" t="s">
        <v>9</v>
      </c>
      <c r="D208">
        <v>207</v>
      </c>
      <c r="E208">
        <v>6210</v>
      </c>
      <c r="F208">
        <v>7176</v>
      </c>
      <c r="G208">
        <v>6210</v>
      </c>
      <c r="H208" t="str">
        <f>IF(CleanSalesData[[#This Row],[Corrected Revenue]]&gt;CleanSalesData[[#This Row],[Target]], "Good Profit", "Low Profit"  )</f>
        <v>Low Profit</v>
      </c>
      <c r="I208" s="1">
        <f>(CleanSalesData[[#This Row],[Corrected Revenue]]/CleanSalesData[[#This Row],[Target]])</f>
        <v>0.86538461538461542</v>
      </c>
      <c r="J208" s="2">
        <f>IF(CleanSalesData[[#This Row],[Units_Sold]]=0,0,CleanSalesData[[#This Row],[Corrected Revenue]]/CleanSalesData[[#This Row],[Units_Sold]])</f>
        <v>30</v>
      </c>
    </row>
    <row r="209" spans="1:10" x14ac:dyDescent="0.25">
      <c r="A209" t="s">
        <v>11</v>
      </c>
      <c r="B209" s="3">
        <v>46224</v>
      </c>
      <c r="C209" t="s">
        <v>10</v>
      </c>
      <c r="D209">
        <v>201</v>
      </c>
      <c r="E209">
        <v>6030</v>
      </c>
      <c r="F209">
        <v>5430</v>
      </c>
      <c r="G209">
        <v>6030</v>
      </c>
      <c r="H209" t="str">
        <f>IF(CleanSalesData[[#This Row],[Corrected Revenue]]&gt;CleanSalesData[[#This Row],[Target]], "Good Profit", "Low Profit"  )</f>
        <v>Good Profit</v>
      </c>
      <c r="I209" s="1">
        <f>(CleanSalesData[[#This Row],[Corrected Revenue]]/CleanSalesData[[#This Row],[Target]])</f>
        <v>1.1104972375690607</v>
      </c>
      <c r="J209" s="2">
        <f>IF(CleanSalesData[[#This Row],[Units_Sold]]=0,0,CleanSalesData[[#This Row],[Corrected Revenue]]/CleanSalesData[[#This Row],[Units_Sold]])</f>
        <v>30</v>
      </c>
    </row>
    <row r="210" spans="1:10" x14ac:dyDescent="0.25">
      <c r="A210" t="s">
        <v>11</v>
      </c>
      <c r="B210" s="3">
        <v>46225</v>
      </c>
      <c r="C210" t="s">
        <v>7</v>
      </c>
      <c r="D210">
        <v>220</v>
      </c>
      <c r="E210">
        <v>6600</v>
      </c>
      <c r="F210">
        <v>5176</v>
      </c>
      <c r="G210">
        <v>6600</v>
      </c>
      <c r="H210" t="str">
        <f>IF(CleanSalesData[[#This Row],[Corrected Revenue]]&gt;CleanSalesData[[#This Row],[Target]], "Good Profit", "Low Profit"  )</f>
        <v>Good Profit</v>
      </c>
      <c r="I210" s="1">
        <f>(CleanSalesData[[#This Row],[Corrected Revenue]]/CleanSalesData[[#This Row],[Target]])</f>
        <v>1.2751159196290571</v>
      </c>
      <c r="J210" s="2">
        <f>IF(CleanSalesData[[#This Row],[Units_Sold]]=0,0,CleanSalesData[[#This Row],[Corrected Revenue]]/CleanSalesData[[#This Row],[Units_Sold]])</f>
        <v>30</v>
      </c>
    </row>
    <row r="211" spans="1:10" x14ac:dyDescent="0.25">
      <c r="A211" t="s">
        <v>11</v>
      </c>
      <c r="B211" s="3">
        <v>46225</v>
      </c>
      <c r="C211" t="s">
        <v>8</v>
      </c>
      <c r="D211">
        <v>145</v>
      </c>
      <c r="E211">
        <v>4350</v>
      </c>
      <c r="F211">
        <v>7666</v>
      </c>
      <c r="G211">
        <v>4350</v>
      </c>
      <c r="H211" t="str">
        <f>IF(CleanSalesData[[#This Row],[Corrected Revenue]]&gt;CleanSalesData[[#This Row],[Target]], "Good Profit", "Low Profit"  )</f>
        <v>Low Profit</v>
      </c>
      <c r="I211" s="1">
        <f>(CleanSalesData[[#This Row],[Corrected Revenue]]/CleanSalesData[[#This Row],[Target]])</f>
        <v>0.56744064701278374</v>
      </c>
      <c r="J211" s="2">
        <f>IF(CleanSalesData[[#This Row],[Units_Sold]]=0,0,CleanSalesData[[#This Row],[Corrected Revenue]]/CleanSalesData[[#This Row],[Units_Sold]])</f>
        <v>30</v>
      </c>
    </row>
    <row r="212" spans="1:10" x14ac:dyDescent="0.25">
      <c r="A212" t="s">
        <v>11</v>
      </c>
      <c r="B212" s="3">
        <v>46225</v>
      </c>
      <c r="C212" t="s">
        <v>9</v>
      </c>
      <c r="D212">
        <v>148</v>
      </c>
      <c r="E212">
        <v>4440</v>
      </c>
      <c r="F212">
        <v>3544</v>
      </c>
      <c r="G212">
        <v>4440</v>
      </c>
      <c r="H212" t="str">
        <f>IF(CleanSalesData[[#This Row],[Corrected Revenue]]&gt;CleanSalesData[[#This Row],[Target]], "Good Profit", "Low Profit"  )</f>
        <v>Good Profit</v>
      </c>
      <c r="I212" s="1">
        <f>(CleanSalesData[[#This Row],[Corrected Revenue]]/CleanSalesData[[#This Row],[Target]])</f>
        <v>1.2528216704288939</v>
      </c>
      <c r="J212" s="2">
        <f>IF(CleanSalesData[[#This Row],[Units_Sold]]=0,0,CleanSalesData[[#This Row],[Corrected Revenue]]/CleanSalesData[[#This Row],[Units_Sold]])</f>
        <v>30</v>
      </c>
    </row>
    <row r="213" spans="1:10" x14ac:dyDescent="0.25">
      <c r="A213" t="s">
        <v>11</v>
      </c>
      <c r="B213" s="3">
        <v>46225</v>
      </c>
      <c r="C213" t="s">
        <v>10</v>
      </c>
      <c r="D213">
        <v>211</v>
      </c>
      <c r="E213">
        <v>6330</v>
      </c>
      <c r="F213">
        <v>3451</v>
      </c>
      <c r="G213">
        <v>6330</v>
      </c>
      <c r="H213" t="str">
        <f>IF(CleanSalesData[[#This Row],[Corrected Revenue]]&gt;CleanSalesData[[#This Row],[Target]], "Good Profit", "Low Profit"  )</f>
        <v>Good Profit</v>
      </c>
      <c r="I213" s="1">
        <f>(CleanSalesData[[#This Row],[Corrected Revenue]]/CleanSalesData[[#This Row],[Target]])</f>
        <v>1.8342509417560127</v>
      </c>
      <c r="J213" s="2">
        <f>IF(CleanSalesData[[#This Row],[Units_Sold]]=0,0,CleanSalesData[[#This Row],[Corrected Revenue]]/CleanSalesData[[#This Row],[Units_Sold]])</f>
        <v>30</v>
      </c>
    </row>
    <row r="214" spans="1:10" x14ac:dyDescent="0.25">
      <c r="A214" t="s">
        <v>11</v>
      </c>
      <c r="B214" s="3">
        <v>46226</v>
      </c>
      <c r="C214" t="s">
        <v>7</v>
      </c>
      <c r="D214">
        <v>91</v>
      </c>
      <c r="E214">
        <v>2730</v>
      </c>
      <c r="F214">
        <v>6474</v>
      </c>
      <c r="G214">
        <v>2730</v>
      </c>
      <c r="H214" t="str">
        <f>IF(CleanSalesData[[#This Row],[Corrected Revenue]]&gt;CleanSalesData[[#This Row],[Target]], "Good Profit", "Low Profit"  )</f>
        <v>Low Profit</v>
      </c>
      <c r="I214" s="1">
        <f>(CleanSalesData[[#This Row],[Corrected Revenue]]/CleanSalesData[[#This Row],[Target]])</f>
        <v>0.42168674698795183</v>
      </c>
      <c r="J214" s="2">
        <f>IF(CleanSalesData[[#This Row],[Units_Sold]]=0,0,CleanSalesData[[#This Row],[Corrected Revenue]]/CleanSalesData[[#This Row],[Units_Sold]])</f>
        <v>30</v>
      </c>
    </row>
    <row r="215" spans="1:10" x14ac:dyDescent="0.25">
      <c r="A215" t="s">
        <v>11</v>
      </c>
      <c r="B215" s="3">
        <v>46226</v>
      </c>
      <c r="C215" t="s">
        <v>8</v>
      </c>
      <c r="D215">
        <v>121</v>
      </c>
      <c r="E215">
        <v>3630</v>
      </c>
      <c r="F215">
        <v>5792</v>
      </c>
      <c r="G215">
        <v>3630</v>
      </c>
      <c r="H215" t="str">
        <f>IF(CleanSalesData[[#This Row],[Corrected Revenue]]&gt;CleanSalesData[[#This Row],[Target]], "Good Profit", "Low Profit"  )</f>
        <v>Low Profit</v>
      </c>
      <c r="I215" s="1">
        <f>(CleanSalesData[[#This Row],[Corrected Revenue]]/CleanSalesData[[#This Row],[Target]])</f>
        <v>0.62672651933701662</v>
      </c>
      <c r="J215" s="2">
        <f>IF(CleanSalesData[[#This Row],[Units_Sold]]=0,0,CleanSalesData[[#This Row],[Corrected Revenue]]/CleanSalesData[[#This Row],[Units_Sold]])</f>
        <v>30</v>
      </c>
    </row>
    <row r="216" spans="1:10" x14ac:dyDescent="0.25">
      <c r="A216" t="s">
        <v>11</v>
      </c>
      <c r="B216" s="3">
        <v>46226</v>
      </c>
      <c r="C216" t="s">
        <v>9</v>
      </c>
      <c r="D216">
        <v>225</v>
      </c>
      <c r="E216">
        <v>6750</v>
      </c>
      <c r="F216">
        <v>5505</v>
      </c>
      <c r="G216">
        <v>6750</v>
      </c>
      <c r="H216" t="str">
        <f>IF(CleanSalesData[[#This Row],[Corrected Revenue]]&gt;CleanSalesData[[#This Row],[Target]], "Good Profit", "Low Profit"  )</f>
        <v>Good Profit</v>
      </c>
      <c r="I216" s="1">
        <f>(CleanSalesData[[#This Row],[Corrected Revenue]]/CleanSalesData[[#This Row],[Target]])</f>
        <v>1.2261580381471389</v>
      </c>
      <c r="J216" s="2">
        <f>IF(CleanSalesData[[#This Row],[Units_Sold]]=0,0,CleanSalesData[[#This Row],[Corrected Revenue]]/CleanSalesData[[#This Row],[Units_Sold]])</f>
        <v>30</v>
      </c>
    </row>
    <row r="217" spans="1:10" x14ac:dyDescent="0.25">
      <c r="A217" t="s">
        <v>11</v>
      </c>
      <c r="B217" s="3">
        <v>46226</v>
      </c>
      <c r="C217" t="s">
        <v>10</v>
      </c>
      <c r="D217">
        <v>169</v>
      </c>
      <c r="E217">
        <v>5070</v>
      </c>
      <c r="F217">
        <v>3090</v>
      </c>
      <c r="G217">
        <v>5070</v>
      </c>
      <c r="H217" t="str">
        <f>IF(CleanSalesData[[#This Row],[Corrected Revenue]]&gt;CleanSalesData[[#This Row],[Target]], "Good Profit", "Low Profit"  )</f>
        <v>Good Profit</v>
      </c>
      <c r="I217" s="1">
        <f>(CleanSalesData[[#This Row],[Corrected Revenue]]/CleanSalesData[[#This Row],[Target]])</f>
        <v>1.6407766990291262</v>
      </c>
      <c r="J217" s="2">
        <f>IF(CleanSalesData[[#This Row],[Units_Sold]]=0,0,CleanSalesData[[#This Row],[Corrected Revenue]]/CleanSalesData[[#This Row],[Units_Sold]])</f>
        <v>30</v>
      </c>
    </row>
    <row r="218" spans="1:10" x14ac:dyDescent="0.25">
      <c r="A218" t="s">
        <v>11</v>
      </c>
      <c r="B218" s="3">
        <v>46227</v>
      </c>
      <c r="C218" t="s">
        <v>7</v>
      </c>
      <c r="D218">
        <v>142</v>
      </c>
      <c r="E218">
        <v>4260</v>
      </c>
      <c r="F218">
        <v>3881</v>
      </c>
      <c r="G218">
        <v>4260</v>
      </c>
      <c r="H218" t="str">
        <f>IF(CleanSalesData[[#This Row],[Corrected Revenue]]&gt;CleanSalesData[[#This Row],[Target]], "Good Profit", "Low Profit"  )</f>
        <v>Good Profit</v>
      </c>
      <c r="I218" s="1">
        <f>(CleanSalesData[[#This Row],[Corrected Revenue]]/CleanSalesData[[#This Row],[Target]])</f>
        <v>1.0976552434939448</v>
      </c>
      <c r="J218" s="2">
        <f>IF(CleanSalesData[[#This Row],[Units_Sold]]=0,0,CleanSalesData[[#This Row],[Corrected Revenue]]/CleanSalesData[[#This Row],[Units_Sold]])</f>
        <v>30</v>
      </c>
    </row>
    <row r="219" spans="1:10" x14ac:dyDescent="0.25">
      <c r="A219" t="s">
        <v>11</v>
      </c>
      <c r="B219" s="3">
        <v>46227</v>
      </c>
      <c r="C219" t="s">
        <v>8</v>
      </c>
      <c r="D219">
        <v>84</v>
      </c>
      <c r="E219">
        <v>-2520</v>
      </c>
      <c r="F219">
        <v>5024</v>
      </c>
      <c r="G219">
        <v>2520</v>
      </c>
      <c r="H219" t="str">
        <f>IF(CleanSalesData[[#This Row],[Corrected Revenue]]&gt;CleanSalesData[[#This Row],[Target]], "Good Profit", "Low Profit"  )</f>
        <v>Low Profit</v>
      </c>
      <c r="I219" s="1">
        <f>(CleanSalesData[[#This Row],[Corrected Revenue]]/CleanSalesData[[#This Row],[Target]])</f>
        <v>0.50159235668789814</v>
      </c>
      <c r="J219" s="2">
        <f>IF(CleanSalesData[[#This Row],[Units_Sold]]=0,0,CleanSalesData[[#This Row],[Corrected Revenue]]/CleanSalesData[[#This Row],[Units_Sold]])</f>
        <v>30</v>
      </c>
    </row>
    <row r="220" spans="1:10" x14ac:dyDescent="0.25">
      <c r="A220" t="s">
        <v>11</v>
      </c>
      <c r="B220" s="3">
        <v>46227</v>
      </c>
      <c r="C220" t="s">
        <v>9</v>
      </c>
      <c r="D220">
        <v>140</v>
      </c>
      <c r="E220">
        <v>4200</v>
      </c>
      <c r="F220">
        <v>4678</v>
      </c>
      <c r="G220">
        <v>4200</v>
      </c>
      <c r="H220" t="str">
        <f>IF(CleanSalesData[[#This Row],[Corrected Revenue]]&gt;CleanSalesData[[#This Row],[Target]], "Good Profit", "Low Profit"  )</f>
        <v>Low Profit</v>
      </c>
      <c r="I220" s="1">
        <f>(CleanSalesData[[#This Row],[Corrected Revenue]]/CleanSalesData[[#This Row],[Target]])</f>
        <v>0.8978195810175289</v>
      </c>
      <c r="J220" s="2">
        <f>IF(CleanSalesData[[#This Row],[Units_Sold]]=0,0,CleanSalesData[[#This Row],[Corrected Revenue]]/CleanSalesData[[#This Row],[Units_Sold]])</f>
        <v>30</v>
      </c>
    </row>
    <row r="221" spans="1:10" x14ac:dyDescent="0.25">
      <c r="A221" t="s">
        <v>11</v>
      </c>
      <c r="B221" s="3">
        <v>46227</v>
      </c>
      <c r="C221" t="s">
        <v>10</v>
      </c>
      <c r="D221">
        <v>130</v>
      </c>
      <c r="E221">
        <v>3900</v>
      </c>
      <c r="F221">
        <v>4861</v>
      </c>
      <c r="G221">
        <v>3900</v>
      </c>
      <c r="H221" t="str">
        <f>IF(CleanSalesData[[#This Row],[Corrected Revenue]]&gt;CleanSalesData[[#This Row],[Target]], "Good Profit", "Low Profit"  )</f>
        <v>Low Profit</v>
      </c>
      <c r="I221" s="1">
        <f>(CleanSalesData[[#This Row],[Corrected Revenue]]/CleanSalesData[[#This Row],[Target]])</f>
        <v>0.80230405266406091</v>
      </c>
      <c r="J221" s="2">
        <f>IF(CleanSalesData[[#This Row],[Units_Sold]]=0,0,CleanSalesData[[#This Row],[Corrected Revenue]]/CleanSalesData[[#This Row],[Units_Sold]])</f>
        <v>30</v>
      </c>
    </row>
    <row r="222" spans="1:10" x14ac:dyDescent="0.25">
      <c r="A222" t="s">
        <v>11</v>
      </c>
      <c r="B222" s="3">
        <v>46228</v>
      </c>
      <c r="C222" t="s">
        <v>7</v>
      </c>
      <c r="D222">
        <v>85</v>
      </c>
      <c r="E222">
        <v>2550</v>
      </c>
      <c r="F222">
        <v>5951</v>
      </c>
      <c r="G222">
        <v>2550</v>
      </c>
      <c r="H222" t="str">
        <f>IF(CleanSalesData[[#This Row],[Corrected Revenue]]&gt;CleanSalesData[[#This Row],[Target]], "Good Profit", "Low Profit"  )</f>
        <v>Low Profit</v>
      </c>
      <c r="I222" s="1">
        <f>(CleanSalesData[[#This Row],[Corrected Revenue]]/CleanSalesData[[#This Row],[Target]])</f>
        <v>0.42849941186355234</v>
      </c>
      <c r="J222" s="2">
        <f>IF(CleanSalesData[[#This Row],[Units_Sold]]=0,0,CleanSalesData[[#This Row],[Corrected Revenue]]/CleanSalesData[[#This Row],[Units_Sold]])</f>
        <v>30</v>
      </c>
    </row>
    <row r="223" spans="1:10" x14ac:dyDescent="0.25">
      <c r="A223" t="s">
        <v>11</v>
      </c>
      <c r="B223" s="3">
        <v>46228</v>
      </c>
      <c r="C223" t="s">
        <v>8</v>
      </c>
      <c r="D223">
        <v>227</v>
      </c>
      <c r="E223">
        <v>6810</v>
      </c>
      <c r="F223">
        <v>6138</v>
      </c>
      <c r="G223">
        <v>6810</v>
      </c>
      <c r="H223" t="str">
        <f>IF(CleanSalesData[[#This Row],[Corrected Revenue]]&gt;CleanSalesData[[#This Row],[Target]], "Good Profit", "Low Profit"  )</f>
        <v>Good Profit</v>
      </c>
      <c r="I223" s="1">
        <f>(CleanSalesData[[#This Row],[Corrected Revenue]]/CleanSalesData[[#This Row],[Target]])</f>
        <v>1.1094819159335287</v>
      </c>
      <c r="J223" s="2">
        <f>IF(CleanSalesData[[#This Row],[Units_Sold]]=0,0,CleanSalesData[[#This Row],[Corrected Revenue]]/CleanSalesData[[#This Row],[Units_Sold]])</f>
        <v>30</v>
      </c>
    </row>
    <row r="224" spans="1:10" x14ac:dyDescent="0.25">
      <c r="A224" t="s">
        <v>11</v>
      </c>
      <c r="B224" s="3">
        <v>46228</v>
      </c>
      <c r="C224" t="s">
        <v>9</v>
      </c>
      <c r="D224">
        <v>111</v>
      </c>
      <c r="E224">
        <v>3330</v>
      </c>
      <c r="F224">
        <v>7234</v>
      </c>
      <c r="G224">
        <v>3330</v>
      </c>
      <c r="H224" t="str">
        <f>IF(CleanSalesData[[#This Row],[Corrected Revenue]]&gt;CleanSalesData[[#This Row],[Target]], "Good Profit", "Low Profit"  )</f>
        <v>Low Profit</v>
      </c>
      <c r="I224" s="1">
        <f>(CleanSalesData[[#This Row],[Corrected Revenue]]/CleanSalesData[[#This Row],[Target]])</f>
        <v>0.46032623721316007</v>
      </c>
      <c r="J224" s="2">
        <f>IF(CleanSalesData[[#This Row],[Units_Sold]]=0,0,CleanSalesData[[#This Row],[Corrected Revenue]]/CleanSalesData[[#This Row],[Units_Sold]])</f>
        <v>30</v>
      </c>
    </row>
    <row r="225" spans="1:10" x14ac:dyDescent="0.25">
      <c r="A225" t="s">
        <v>11</v>
      </c>
      <c r="B225" s="3">
        <v>46228</v>
      </c>
      <c r="C225" t="s">
        <v>10</v>
      </c>
      <c r="D225">
        <v>236</v>
      </c>
      <c r="E225">
        <v>7080</v>
      </c>
      <c r="F225">
        <v>5255</v>
      </c>
      <c r="G225">
        <v>7080</v>
      </c>
      <c r="H225" t="str">
        <f>IF(CleanSalesData[[#This Row],[Corrected Revenue]]&gt;CleanSalesData[[#This Row],[Target]], "Good Profit", "Low Profit"  )</f>
        <v>Good Profit</v>
      </c>
      <c r="I225" s="1">
        <f>(CleanSalesData[[#This Row],[Corrected Revenue]]/CleanSalesData[[#This Row],[Target]])</f>
        <v>1.3472882968601332</v>
      </c>
      <c r="J225" s="2">
        <f>IF(CleanSalesData[[#This Row],[Units_Sold]]=0,0,CleanSalesData[[#This Row],[Corrected Revenue]]/CleanSalesData[[#This Row],[Units_Sold]])</f>
        <v>30</v>
      </c>
    </row>
    <row r="226" spans="1:10" x14ac:dyDescent="0.25">
      <c r="A226" t="s">
        <v>11</v>
      </c>
      <c r="B226" s="3">
        <v>46229</v>
      </c>
      <c r="C226" t="s">
        <v>7</v>
      </c>
      <c r="D226">
        <v>200</v>
      </c>
      <c r="E226">
        <v>6000</v>
      </c>
      <c r="F226">
        <v>4081</v>
      </c>
      <c r="G226">
        <v>6000</v>
      </c>
      <c r="H226" t="str">
        <f>IF(CleanSalesData[[#This Row],[Corrected Revenue]]&gt;CleanSalesData[[#This Row],[Target]], "Good Profit", "Low Profit"  )</f>
        <v>Good Profit</v>
      </c>
      <c r="I226" s="1">
        <f>(CleanSalesData[[#This Row],[Corrected Revenue]]/CleanSalesData[[#This Row],[Target]])</f>
        <v>1.470227885322225</v>
      </c>
      <c r="J226" s="2">
        <f>IF(CleanSalesData[[#This Row],[Units_Sold]]=0,0,CleanSalesData[[#This Row],[Corrected Revenue]]/CleanSalesData[[#This Row],[Units_Sold]])</f>
        <v>30</v>
      </c>
    </row>
    <row r="227" spans="1:10" x14ac:dyDescent="0.25">
      <c r="A227" t="s">
        <v>11</v>
      </c>
      <c r="B227" s="3">
        <v>46229</v>
      </c>
      <c r="C227" t="s">
        <v>8</v>
      </c>
      <c r="D227">
        <v>91</v>
      </c>
      <c r="E227">
        <v>2730</v>
      </c>
      <c r="F227">
        <v>3586</v>
      </c>
      <c r="G227">
        <v>2730</v>
      </c>
      <c r="H227" t="str">
        <f>IF(CleanSalesData[[#This Row],[Corrected Revenue]]&gt;CleanSalesData[[#This Row],[Target]], "Good Profit", "Low Profit"  )</f>
        <v>Low Profit</v>
      </c>
      <c r="I227" s="1">
        <f>(CleanSalesData[[#This Row],[Corrected Revenue]]/CleanSalesData[[#This Row],[Target]])</f>
        <v>0.7612939208031233</v>
      </c>
      <c r="J227" s="2">
        <f>IF(CleanSalesData[[#This Row],[Units_Sold]]=0,0,CleanSalesData[[#This Row],[Corrected Revenue]]/CleanSalesData[[#This Row],[Units_Sold]])</f>
        <v>30</v>
      </c>
    </row>
    <row r="228" spans="1:10" x14ac:dyDescent="0.25">
      <c r="A228" t="s">
        <v>11</v>
      </c>
      <c r="B228" s="3">
        <v>46229</v>
      </c>
      <c r="C228" t="s">
        <v>9</v>
      </c>
      <c r="D228">
        <v>165</v>
      </c>
      <c r="E228">
        <v>-4950</v>
      </c>
      <c r="F228">
        <v>4021</v>
      </c>
      <c r="G228">
        <v>4950</v>
      </c>
      <c r="H228" t="str">
        <f>IF(CleanSalesData[[#This Row],[Corrected Revenue]]&gt;CleanSalesData[[#This Row],[Target]], "Good Profit", "Low Profit"  )</f>
        <v>Good Profit</v>
      </c>
      <c r="I228" s="1">
        <f>(CleanSalesData[[#This Row],[Corrected Revenue]]/CleanSalesData[[#This Row],[Target]])</f>
        <v>1.231037055458841</v>
      </c>
      <c r="J228" s="2">
        <f>IF(CleanSalesData[[#This Row],[Units_Sold]]=0,0,CleanSalesData[[#This Row],[Corrected Revenue]]/CleanSalesData[[#This Row],[Units_Sold]])</f>
        <v>30</v>
      </c>
    </row>
    <row r="229" spans="1:10" x14ac:dyDescent="0.25">
      <c r="A229" t="s">
        <v>11</v>
      </c>
      <c r="B229" s="3">
        <v>46229</v>
      </c>
      <c r="C229" t="s">
        <v>10</v>
      </c>
      <c r="D229">
        <v>226</v>
      </c>
      <c r="E229">
        <v>6780</v>
      </c>
      <c r="F229">
        <v>5320</v>
      </c>
      <c r="G229">
        <v>6780</v>
      </c>
      <c r="H229" t="str">
        <f>IF(CleanSalesData[[#This Row],[Corrected Revenue]]&gt;CleanSalesData[[#This Row],[Target]], "Good Profit", "Low Profit"  )</f>
        <v>Good Profit</v>
      </c>
      <c r="I229" s="1">
        <f>(CleanSalesData[[#This Row],[Corrected Revenue]]/CleanSalesData[[#This Row],[Target]])</f>
        <v>1.2744360902255638</v>
      </c>
      <c r="J229" s="2">
        <f>IF(CleanSalesData[[#This Row],[Units_Sold]]=0,0,CleanSalesData[[#This Row],[Corrected Revenue]]/CleanSalesData[[#This Row],[Units_Sold]])</f>
        <v>30</v>
      </c>
    </row>
    <row r="230" spans="1:10" x14ac:dyDescent="0.25">
      <c r="A230" t="s">
        <v>11</v>
      </c>
      <c r="B230" s="3">
        <v>46230</v>
      </c>
      <c r="C230" t="s">
        <v>7</v>
      </c>
      <c r="D230">
        <v>142</v>
      </c>
      <c r="E230">
        <v>4260</v>
      </c>
      <c r="F230">
        <v>4060</v>
      </c>
      <c r="G230">
        <v>4260</v>
      </c>
      <c r="H230" t="str">
        <f>IF(CleanSalesData[[#This Row],[Corrected Revenue]]&gt;CleanSalesData[[#This Row],[Target]], "Good Profit", "Low Profit"  )</f>
        <v>Good Profit</v>
      </c>
      <c r="I230" s="1">
        <f>(CleanSalesData[[#This Row],[Corrected Revenue]]/CleanSalesData[[#This Row],[Target]])</f>
        <v>1.0492610837438423</v>
      </c>
      <c r="J230" s="2">
        <f>IF(CleanSalesData[[#This Row],[Units_Sold]]=0,0,CleanSalesData[[#This Row],[Corrected Revenue]]/CleanSalesData[[#This Row],[Units_Sold]])</f>
        <v>30</v>
      </c>
    </row>
    <row r="231" spans="1:10" x14ac:dyDescent="0.25">
      <c r="A231" t="s">
        <v>11</v>
      </c>
      <c r="B231" s="3">
        <v>46230</v>
      </c>
      <c r="C231" t="s">
        <v>8</v>
      </c>
      <c r="D231">
        <v>0</v>
      </c>
      <c r="E231">
        <v>4500</v>
      </c>
      <c r="F231">
        <v>3716</v>
      </c>
      <c r="G231">
        <v>0</v>
      </c>
      <c r="H231" t="str">
        <f>IF(CleanSalesData[[#This Row],[Corrected Revenue]]&gt;CleanSalesData[[#This Row],[Target]], "Good Profit", "Low Profit"  )</f>
        <v>Low Profit</v>
      </c>
      <c r="I231" s="1">
        <f>(CleanSalesData[[#This Row],[Corrected Revenue]]/CleanSalesData[[#This Row],[Target]])</f>
        <v>0</v>
      </c>
      <c r="J231" s="2">
        <f>IF(CleanSalesData[[#This Row],[Units_Sold]]=0,0,CleanSalesData[[#This Row],[Corrected Revenue]]/CleanSalesData[[#This Row],[Units_Sold]])</f>
        <v>0</v>
      </c>
    </row>
    <row r="232" spans="1:10" x14ac:dyDescent="0.25">
      <c r="A232" t="s">
        <v>11</v>
      </c>
      <c r="B232" s="3">
        <v>46230</v>
      </c>
      <c r="C232" t="s">
        <v>9</v>
      </c>
      <c r="D232">
        <v>207</v>
      </c>
      <c r="E232">
        <v>6210</v>
      </c>
      <c r="F232">
        <v>7498</v>
      </c>
      <c r="G232">
        <v>6210</v>
      </c>
      <c r="H232" t="str">
        <f>IF(CleanSalesData[[#This Row],[Corrected Revenue]]&gt;CleanSalesData[[#This Row],[Target]], "Good Profit", "Low Profit"  )</f>
        <v>Low Profit</v>
      </c>
      <c r="I232" s="1">
        <f>(CleanSalesData[[#This Row],[Corrected Revenue]]/CleanSalesData[[#This Row],[Target]])</f>
        <v>0.82822085889570551</v>
      </c>
      <c r="J232" s="2">
        <f>IF(CleanSalesData[[#This Row],[Units_Sold]]=0,0,CleanSalesData[[#This Row],[Corrected Revenue]]/CleanSalesData[[#This Row],[Units_Sold]])</f>
        <v>30</v>
      </c>
    </row>
    <row r="233" spans="1:10" x14ac:dyDescent="0.25">
      <c r="A233" t="s">
        <v>11</v>
      </c>
      <c r="B233" s="3">
        <v>46230</v>
      </c>
      <c r="C233" t="s">
        <v>10</v>
      </c>
      <c r="D233">
        <v>171</v>
      </c>
      <c r="E233">
        <v>5130</v>
      </c>
      <c r="F233">
        <v>6203</v>
      </c>
      <c r="G233">
        <v>5130</v>
      </c>
      <c r="H233" t="str">
        <f>IF(CleanSalesData[[#This Row],[Corrected Revenue]]&gt;CleanSalesData[[#This Row],[Target]], "Good Profit", "Low Profit"  )</f>
        <v>Low Profit</v>
      </c>
      <c r="I233" s="1">
        <f>(CleanSalesData[[#This Row],[Corrected Revenue]]/CleanSalesData[[#This Row],[Target]])</f>
        <v>0.82701918426567789</v>
      </c>
      <c r="J233" s="2">
        <f>IF(CleanSalesData[[#This Row],[Units_Sold]]=0,0,CleanSalesData[[#This Row],[Corrected Revenue]]/CleanSalesData[[#This Row],[Units_Sold]])</f>
        <v>30</v>
      </c>
    </row>
    <row r="234" spans="1:10" x14ac:dyDescent="0.25">
      <c r="A234" t="s">
        <v>11</v>
      </c>
      <c r="B234" s="3">
        <v>46231</v>
      </c>
      <c r="C234" t="s">
        <v>7</v>
      </c>
      <c r="D234">
        <v>151</v>
      </c>
      <c r="E234">
        <v>4530</v>
      </c>
      <c r="F234">
        <v>5266</v>
      </c>
      <c r="G234">
        <v>4530</v>
      </c>
      <c r="H234" t="str">
        <f>IF(CleanSalesData[[#This Row],[Corrected Revenue]]&gt;CleanSalesData[[#This Row],[Target]], "Good Profit", "Low Profit"  )</f>
        <v>Low Profit</v>
      </c>
      <c r="I234" s="1">
        <f>(CleanSalesData[[#This Row],[Corrected Revenue]]/CleanSalesData[[#This Row],[Target]])</f>
        <v>0.86023547284466384</v>
      </c>
      <c r="J234" s="2">
        <f>IF(CleanSalesData[[#This Row],[Units_Sold]]=0,0,CleanSalesData[[#This Row],[Corrected Revenue]]/CleanSalesData[[#This Row],[Units_Sold]])</f>
        <v>30</v>
      </c>
    </row>
    <row r="235" spans="1:10" x14ac:dyDescent="0.25">
      <c r="A235" t="s">
        <v>11</v>
      </c>
      <c r="B235" s="3">
        <v>46231</v>
      </c>
      <c r="C235" t="s">
        <v>8</v>
      </c>
      <c r="D235">
        <v>207</v>
      </c>
      <c r="E235">
        <v>6210</v>
      </c>
      <c r="F235">
        <v>6386</v>
      </c>
      <c r="G235">
        <v>6210</v>
      </c>
      <c r="H235" t="str">
        <f>IF(CleanSalesData[[#This Row],[Corrected Revenue]]&gt;CleanSalesData[[#This Row],[Target]], "Good Profit", "Low Profit"  )</f>
        <v>Low Profit</v>
      </c>
      <c r="I235" s="1">
        <f>(CleanSalesData[[#This Row],[Corrected Revenue]]/CleanSalesData[[#This Row],[Target]])</f>
        <v>0.97243971186971501</v>
      </c>
      <c r="J235" s="2">
        <f>IF(CleanSalesData[[#This Row],[Units_Sold]]=0,0,CleanSalesData[[#This Row],[Corrected Revenue]]/CleanSalesData[[#This Row],[Units_Sold]])</f>
        <v>30</v>
      </c>
    </row>
    <row r="236" spans="1:10" x14ac:dyDescent="0.25">
      <c r="A236" t="s">
        <v>11</v>
      </c>
      <c r="B236" s="3">
        <v>46231</v>
      </c>
      <c r="C236" t="s">
        <v>9</v>
      </c>
      <c r="D236">
        <v>213</v>
      </c>
      <c r="E236">
        <v>6390</v>
      </c>
      <c r="F236">
        <v>7097</v>
      </c>
      <c r="G236">
        <v>6390</v>
      </c>
      <c r="H236" t="str">
        <f>IF(CleanSalesData[[#This Row],[Corrected Revenue]]&gt;CleanSalesData[[#This Row],[Target]], "Good Profit", "Low Profit"  )</f>
        <v>Low Profit</v>
      </c>
      <c r="I236" s="1">
        <f>(CleanSalesData[[#This Row],[Corrected Revenue]]/CleanSalesData[[#This Row],[Target]])</f>
        <v>0.90038044244046778</v>
      </c>
      <c r="J236" s="2">
        <f>IF(CleanSalesData[[#This Row],[Units_Sold]]=0,0,CleanSalesData[[#This Row],[Corrected Revenue]]/CleanSalesData[[#This Row],[Units_Sold]])</f>
        <v>30</v>
      </c>
    </row>
    <row r="237" spans="1:10" x14ac:dyDescent="0.25">
      <c r="A237" t="s">
        <v>11</v>
      </c>
      <c r="B237" s="3">
        <v>46231</v>
      </c>
      <c r="C237" t="s">
        <v>10</v>
      </c>
      <c r="D237">
        <v>205</v>
      </c>
      <c r="E237">
        <v>6150</v>
      </c>
      <c r="F237">
        <v>3432</v>
      </c>
      <c r="G237">
        <v>6150</v>
      </c>
      <c r="H237" t="str">
        <f>IF(CleanSalesData[[#This Row],[Corrected Revenue]]&gt;CleanSalesData[[#This Row],[Target]], "Good Profit", "Low Profit"  )</f>
        <v>Good Profit</v>
      </c>
      <c r="I237" s="1">
        <f>(CleanSalesData[[#This Row],[Corrected Revenue]]/CleanSalesData[[#This Row],[Target]])</f>
        <v>1.7919580419580419</v>
      </c>
      <c r="J237" s="2">
        <f>IF(CleanSalesData[[#This Row],[Units_Sold]]=0,0,CleanSalesData[[#This Row],[Corrected Revenue]]/CleanSalesData[[#This Row],[Units_Sold]])</f>
        <v>30</v>
      </c>
    </row>
    <row r="238" spans="1:10" x14ac:dyDescent="0.25">
      <c r="A238" t="s">
        <v>11</v>
      </c>
      <c r="B238" s="3">
        <v>46232</v>
      </c>
      <c r="C238" t="s">
        <v>7</v>
      </c>
      <c r="D238">
        <v>0</v>
      </c>
      <c r="E238">
        <v>-4500</v>
      </c>
      <c r="F238">
        <v>3352</v>
      </c>
      <c r="G238">
        <v>0</v>
      </c>
      <c r="H238" t="str">
        <f>IF(CleanSalesData[[#This Row],[Corrected Revenue]]&gt;CleanSalesData[[#This Row],[Target]], "Good Profit", "Low Profit"  )</f>
        <v>Low Profit</v>
      </c>
      <c r="I238" s="1">
        <f>(CleanSalesData[[#This Row],[Corrected Revenue]]/CleanSalesData[[#This Row],[Target]])</f>
        <v>0</v>
      </c>
      <c r="J238" s="2">
        <f>IF(CleanSalesData[[#This Row],[Units_Sold]]=0,0,CleanSalesData[[#This Row],[Corrected Revenue]]/CleanSalesData[[#This Row],[Units_Sold]])</f>
        <v>0</v>
      </c>
    </row>
    <row r="239" spans="1:10" x14ac:dyDescent="0.25">
      <c r="A239" t="s">
        <v>11</v>
      </c>
      <c r="B239" s="3">
        <v>46232</v>
      </c>
      <c r="C239" t="s">
        <v>8</v>
      </c>
      <c r="D239">
        <v>136</v>
      </c>
      <c r="E239">
        <v>4080</v>
      </c>
      <c r="F239">
        <v>4439</v>
      </c>
      <c r="G239">
        <v>4080</v>
      </c>
      <c r="H239" t="str">
        <f>IF(CleanSalesData[[#This Row],[Corrected Revenue]]&gt;CleanSalesData[[#This Row],[Target]], "Good Profit", "Low Profit"  )</f>
        <v>Low Profit</v>
      </c>
      <c r="I239" s="1">
        <f>(CleanSalesData[[#This Row],[Corrected Revenue]]/CleanSalesData[[#This Row],[Target]])</f>
        <v>0.91912592926334757</v>
      </c>
      <c r="J239" s="2">
        <f>IF(CleanSalesData[[#This Row],[Units_Sold]]=0,0,CleanSalesData[[#This Row],[Corrected Revenue]]/CleanSalesData[[#This Row],[Units_Sold]])</f>
        <v>30</v>
      </c>
    </row>
    <row r="240" spans="1:10" x14ac:dyDescent="0.25">
      <c r="A240" t="s">
        <v>11</v>
      </c>
      <c r="B240" s="3">
        <v>46232</v>
      </c>
      <c r="C240" t="s">
        <v>9</v>
      </c>
      <c r="D240">
        <v>237</v>
      </c>
      <c r="E240">
        <v>7110</v>
      </c>
      <c r="F240">
        <v>5896</v>
      </c>
      <c r="G240">
        <v>7110</v>
      </c>
      <c r="H240" t="str">
        <f>IF(CleanSalesData[[#This Row],[Corrected Revenue]]&gt;CleanSalesData[[#This Row],[Target]], "Good Profit", "Low Profit"  )</f>
        <v>Good Profit</v>
      </c>
      <c r="I240" s="1">
        <f>(CleanSalesData[[#This Row],[Corrected Revenue]]/CleanSalesData[[#This Row],[Target]])</f>
        <v>1.2059023066485752</v>
      </c>
      <c r="J240" s="2">
        <f>IF(CleanSalesData[[#This Row],[Units_Sold]]=0,0,CleanSalesData[[#This Row],[Corrected Revenue]]/CleanSalesData[[#This Row],[Units_Sold]])</f>
        <v>30</v>
      </c>
    </row>
    <row r="241" spans="1:10" x14ac:dyDescent="0.25">
      <c r="A241" t="s">
        <v>11</v>
      </c>
      <c r="B241" s="3">
        <v>46232</v>
      </c>
      <c r="C241" t="s">
        <v>10</v>
      </c>
      <c r="D241">
        <v>125</v>
      </c>
      <c r="E241">
        <v>3750</v>
      </c>
      <c r="F241">
        <v>3534</v>
      </c>
      <c r="G241">
        <v>3750</v>
      </c>
      <c r="H241" t="str">
        <f>IF(CleanSalesData[[#This Row],[Corrected Revenue]]&gt;CleanSalesData[[#This Row],[Target]], "Good Profit", "Low Profit"  )</f>
        <v>Good Profit</v>
      </c>
      <c r="I241" s="1">
        <f>(CleanSalesData[[#This Row],[Corrected Revenue]]/CleanSalesData[[#This Row],[Target]])</f>
        <v>1.0611205432937181</v>
      </c>
      <c r="J241" s="2">
        <f>IF(CleanSalesData[[#This Row],[Units_Sold]]=0,0,CleanSalesData[[#This Row],[Corrected Revenue]]/CleanSalesData[[#This Row],[Units_Sold]])</f>
        <v>30</v>
      </c>
    </row>
    <row r="242" spans="1:10" x14ac:dyDescent="0.25">
      <c r="A242" t="s">
        <v>11</v>
      </c>
      <c r="B242" s="3">
        <v>46233</v>
      </c>
      <c r="C242" t="s">
        <v>7</v>
      </c>
      <c r="D242">
        <v>156</v>
      </c>
      <c r="E242">
        <v>4680</v>
      </c>
      <c r="F242">
        <v>7294</v>
      </c>
      <c r="G242">
        <v>4680</v>
      </c>
      <c r="H242" t="str">
        <f>IF(CleanSalesData[[#This Row],[Corrected Revenue]]&gt;CleanSalesData[[#This Row],[Target]], "Good Profit", "Low Profit"  )</f>
        <v>Low Profit</v>
      </c>
      <c r="I242" s="1">
        <f>(CleanSalesData[[#This Row],[Corrected Revenue]]/CleanSalesData[[#This Row],[Target]])</f>
        <v>0.64162325198793524</v>
      </c>
      <c r="J242" s="2">
        <f>IF(CleanSalesData[[#This Row],[Units_Sold]]=0,0,CleanSalesData[[#This Row],[Corrected Revenue]]/CleanSalesData[[#This Row],[Units_Sold]])</f>
        <v>30</v>
      </c>
    </row>
    <row r="243" spans="1:10" x14ac:dyDescent="0.25">
      <c r="A243" t="s">
        <v>11</v>
      </c>
      <c r="B243" s="3">
        <v>46233</v>
      </c>
      <c r="C243" t="s">
        <v>8</v>
      </c>
      <c r="D243">
        <v>115</v>
      </c>
      <c r="E243">
        <v>3450</v>
      </c>
      <c r="F243">
        <v>6286</v>
      </c>
      <c r="G243">
        <v>3450</v>
      </c>
      <c r="H243" t="str">
        <f>IF(CleanSalesData[[#This Row],[Corrected Revenue]]&gt;CleanSalesData[[#This Row],[Target]], "Good Profit", "Low Profit"  )</f>
        <v>Low Profit</v>
      </c>
      <c r="I243" s="1">
        <f>(CleanSalesData[[#This Row],[Corrected Revenue]]/CleanSalesData[[#This Row],[Target]])</f>
        <v>0.54883868915049316</v>
      </c>
      <c r="J243" s="2">
        <f>IF(CleanSalesData[[#This Row],[Units_Sold]]=0,0,CleanSalesData[[#This Row],[Corrected Revenue]]/CleanSalesData[[#This Row],[Units_Sold]])</f>
        <v>30</v>
      </c>
    </row>
    <row r="244" spans="1:10" x14ac:dyDescent="0.25">
      <c r="A244" t="s">
        <v>11</v>
      </c>
      <c r="B244" s="3">
        <v>46233</v>
      </c>
      <c r="C244" t="s">
        <v>9</v>
      </c>
      <c r="D244">
        <v>121</v>
      </c>
      <c r="E244">
        <v>3630</v>
      </c>
      <c r="F244">
        <v>5531</v>
      </c>
      <c r="G244">
        <v>3630</v>
      </c>
      <c r="H244" t="str">
        <f>IF(CleanSalesData[[#This Row],[Corrected Revenue]]&gt;CleanSalesData[[#This Row],[Target]], "Good Profit", "Low Profit"  )</f>
        <v>Low Profit</v>
      </c>
      <c r="I244" s="1">
        <f>(CleanSalesData[[#This Row],[Corrected Revenue]]/CleanSalesData[[#This Row],[Target]])</f>
        <v>0.65630084975592118</v>
      </c>
      <c r="J244" s="2">
        <f>IF(CleanSalesData[[#This Row],[Units_Sold]]=0,0,CleanSalesData[[#This Row],[Corrected Revenue]]/CleanSalesData[[#This Row],[Units_Sold]])</f>
        <v>30</v>
      </c>
    </row>
    <row r="245" spans="1:10" x14ac:dyDescent="0.25">
      <c r="A245" t="s">
        <v>11</v>
      </c>
      <c r="B245" s="3">
        <v>46233</v>
      </c>
      <c r="C245" t="s">
        <v>10</v>
      </c>
      <c r="D245">
        <v>186</v>
      </c>
      <c r="E245">
        <v>5580</v>
      </c>
      <c r="F245">
        <v>5134</v>
      </c>
      <c r="G245">
        <v>5580</v>
      </c>
      <c r="H245" t="str">
        <f>IF(CleanSalesData[[#This Row],[Corrected Revenue]]&gt;CleanSalesData[[#This Row],[Target]], "Good Profit", "Low Profit"  )</f>
        <v>Good Profit</v>
      </c>
      <c r="I245" s="1">
        <f>(CleanSalesData[[#This Row],[Corrected Revenue]]/CleanSalesData[[#This Row],[Target]])</f>
        <v>1.086871834826646</v>
      </c>
      <c r="J245" s="2">
        <f>IF(CleanSalesData[[#This Row],[Units_Sold]]=0,0,CleanSalesData[[#This Row],[Corrected Revenue]]/CleanSalesData[[#This Row],[Units_Sold]])</f>
        <v>30</v>
      </c>
    </row>
    <row r="246" spans="1:10" x14ac:dyDescent="0.25">
      <c r="A246" t="s">
        <v>11</v>
      </c>
      <c r="B246" s="3">
        <v>46234</v>
      </c>
      <c r="C246" t="s">
        <v>7</v>
      </c>
      <c r="D246">
        <v>96</v>
      </c>
      <c r="E246">
        <v>2880</v>
      </c>
      <c r="F246">
        <v>6618</v>
      </c>
      <c r="G246">
        <v>2880</v>
      </c>
      <c r="H246" t="str">
        <f>IF(CleanSalesData[[#This Row],[Corrected Revenue]]&gt;CleanSalesData[[#This Row],[Target]], "Good Profit", "Low Profit"  )</f>
        <v>Low Profit</v>
      </c>
      <c r="I246" s="1">
        <f>(CleanSalesData[[#This Row],[Corrected Revenue]]/CleanSalesData[[#This Row],[Target]])</f>
        <v>0.43517679057116954</v>
      </c>
      <c r="J246" s="2">
        <f>IF(CleanSalesData[[#This Row],[Units_Sold]]=0,0,CleanSalesData[[#This Row],[Corrected Revenue]]/CleanSalesData[[#This Row],[Units_Sold]])</f>
        <v>30</v>
      </c>
    </row>
    <row r="247" spans="1:10" x14ac:dyDescent="0.25">
      <c r="A247" t="s">
        <v>11</v>
      </c>
      <c r="B247" s="3">
        <v>46234</v>
      </c>
      <c r="C247" t="s">
        <v>8</v>
      </c>
      <c r="D247">
        <v>151</v>
      </c>
      <c r="E247">
        <v>4530</v>
      </c>
      <c r="F247">
        <v>3955</v>
      </c>
      <c r="G247">
        <v>4530</v>
      </c>
      <c r="H247" t="str">
        <f>IF(CleanSalesData[[#This Row],[Corrected Revenue]]&gt;CleanSalesData[[#This Row],[Target]], "Good Profit", "Low Profit"  )</f>
        <v>Good Profit</v>
      </c>
      <c r="I247" s="1">
        <f>(CleanSalesData[[#This Row],[Corrected Revenue]]/CleanSalesData[[#This Row],[Target]])</f>
        <v>1.145385587863464</v>
      </c>
      <c r="J247" s="2">
        <f>IF(CleanSalesData[[#This Row],[Units_Sold]]=0,0,CleanSalesData[[#This Row],[Corrected Revenue]]/CleanSalesData[[#This Row],[Units_Sold]])</f>
        <v>30</v>
      </c>
    </row>
    <row r="248" spans="1:10" x14ac:dyDescent="0.25">
      <c r="A248" t="s">
        <v>11</v>
      </c>
      <c r="B248" s="3">
        <v>46234</v>
      </c>
      <c r="C248" t="s">
        <v>9</v>
      </c>
      <c r="D248">
        <v>133</v>
      </c>
      <c r="E248">
        <v>3990</v>
      </c>
      <c r="F248">
        <v>5447</v>
      </c>
      <c r="G248">
        <v>3990</v>
      </c>
      <c r="H248" t="str">
        <f>IF(CleanSalesData[[#This Row],[Corrected Revenue]]&gt;CleanSalesData[[#This Row],[Target]], "Good Profit", "Low Profit"  )</f>
        <v>Low Profit</v>
      </c>
      <c r="I248" s="1">
        <f>(CleanSalesData[[#This Row],[Corrected Revenue]]/CleanSalesData[[#This Row],[Target]])</f>
        <v>0.73251331007894249</v>
      </c>
      <c r="J248" s="2">
        <f>IF(CleanSalesData[[#This Row],[Units_Sold]]=0,0,CleanSalesData[[#This Row],[Corrected Revenue]]/CleanSalesData[[#This Row],[Units_Sold]])</f>
        <v>30</v>
      </c>
    </row>
    <row r="249" spans="1:10" x14ac:dyDescent="0.25">
      <c r="A249" t="s">
        <v>11</v>
      </c>
      <c r="B249" s="3">
        <v>46234</v>
      </c>
      <c r="C249" t="s">
        <v>10</v>
      </c>
      <c r="D249">
        <v>104</v>
      </c>
      <c r="E249">
        <v>3120</v>
      </c>
      <c r="F249">
        <v>3046</v>
      </c>
      <c r="G249">
        <v>3120</v>
      </c>
      <c r="H249" t="str">
        <f>IF(CleanSalesData[[#This Row],[Corrected Revenue]]&gt;CleanSalesData[[#This Row],[Target]], "Good Profit", "Low Profit"  )</f>
        <v>Good Profit</v>
      </c>
      <c r="I249" s="1">
        <f>(CleanSalesData[[#This Row],[Corrected Revenue]]/CleanSalesData[[#This Row],[Target]])</f>
        <v>1.0242941562705188</v>
      </c>
      <c r="J249" s="2">
        <f>IF(CleanSalesData[[#This Row],[Units_Sold]]=0,0,CleanSalesData[[#This Row],[Corrected Revenue]]/CleanSalesData[[#This Row],[Units_Sold]])</f>
        <v>30</v>
      </c>
    </row>
    <row r="250" spans="1:10" x14ac:dyDescent="0.25">
      <c r="A250" t="s">
        <v>12</v>
      </c>
      <c r="B250" s="3">
        <v>46204</v>
      </c>
      <c r="C250" t="s">
        <v>7</v>
      </c>
      <c r="D250">
        <v>279</v>
      </c>
      <c r="E250">
        <v>8370</v>
      </c>
      <c r="F250">
        <v>3600</v>
      </c>
      <c r="G250">
        <v>8370</v>
      </c>
      <c r="H250" t="str">
        <f>IF(CleanSalesData[[#This Row],[Corrected Revenue]]&gt;CleanSalesData[[#This Row],[Target]], "Good Profit", "Low Profit"  )</f>
        <v>Good Profit</v>
      </c>
      <c r="I250" s="1">
        <f>(CleanSalesData[[#This Row],[Corrected Revenue]]/CleanSalesData[[#This Row],[Target]])</f>
        <v>2.3250000000000002</v>
      </c>
      <c r="J250" s="2">
        <f>IF(CleanSalesData[[#This Row],[Units_Sold]]=0,0,CleanSalesData[[#This Row],[Corrected Revenue]]/CleanSalesData[[#This Row],[Units_Sold]])</f>
        <v>30</v>
      </c>
    </row>
    <row r="251" spans="1:10" x14ac:dyDescent="0.25">
      <c r="A251" t="s">
        <v>12</v>
      </c>
      <c r="B251" s="3">
        <v>46204</v>
      </c>
      <c r="C251" t="s">
        <v>8</v>
      </c>
      <c r="D251">
        <v>142</v>
      </c>
      <c r="E251">
        <v>4260</v>
      </c>
      <c r="F251">
        <v>7540</v>
      </c>
      <c r="G251">
        <v>4260</v>
      </c>
      <c r="H251" t="str">
        <f>IF(CleanSalesData[[#This Row],[Corrected Revenue]]&gt;CleanSalesData[[#This Row],[Target]], "Good Profit", "Low Profit"  )</f>
        <v>Low Profit</v>
      </c>
      <c r="I251" s="1">
        <f>(CleanSalesData[[#This Row],[Corrected Revenue]]/CleanSalesData[[#This Row],[Target]])</f>
        <v>0.56498673740053051</v>
      </c>
      <c r="J251" s="2">
        <f>IF(CleanSalesData[[#This Row],[Units_Sold]]=0,0,CleanSalesData[[#This Row],[Corrected Revenue]]/CleanSalesData[[#This Row],[Units_Sold]])</f>
        <v>30</v>
      </c>
    </row>
    <row r="252" spans="1:10" x14ac:dyDescent="0.25">
      <c r="A252" t="s">
        <v>12</v>
      </c>
      <c r="B252" s="3">
        <v>46204</v>
      </c>
      <c r="C252" t="s">
        <v>9</v>
      </c>
      <c r="D252">
        <v>108</v>
      </c>
      <c r="E252">
        <v>3240</v>
      </c>
      <c r="F252">
        <v>7853</v>
      </c>
      <c r="G252">
        <v>3240</v>
      </c>
      <c r="H252" t="str">
        <f>IF(CleanSalesData[[#This Row],[Corrected Revenue]]&gt;CleanSalesData[[#This Row],[Target]], "Good Profit", "Low Profit"  )</f>
        <v>Low Profit</v>
      </c>
      <c r="I252" s="1">
        <f>(CleanSalesData[[#This Row],[Corrected Revenue]]/CleanSalesData[[#This Row],[Target]])</f>
        <v>0.41258117916719728</v>
      </c>
      <c r="J252" s="2">
        <f>IF(CleanSalesData[[#This Row],[Units_Sold]]=0,0,CleanSalesData[[#This Row],[Corrected Revenue]]/CleanSalesData[[#This Row],[Units_Sold]])</f>
        <v>30</v>
      </c>
    </row>
    <row r="253" spans="1:10" x14ac:dyDescent="0.25">
      <c r="A253" t="s">
        <v>12</v>
      </c>
      <c r="B253" s="3">
        <v>46204</v>
      </c>
      <c r="C253" t="s">
        <v>10</v>
      </c>
      <c r="D253">
        <v>90</v>
      </c>
      <c r="E253">
        <v>2700</v>
      </c>
      <c r="F253">
        <v>8016</v>
      </c>
      <c r="G253">
        <v>2700</v>
      </c>
      <c r="H253" t="str">
        <f>IF(CleanSalesData[[#This Row],[Corrected Revenue]]&gt;CleanSalesData[[#This Row],[Target]], "Good Profit", "Low Profit"  )</f>
        <v>Low Profit</v>
      </c>
      <c r="I253" s="1">
        <f>(CleanSalesData[[#This Row],[Corrected Revenue]]/CleanSalesData[[#This Row],[Target]])</f>
        <v>0.33682634730538924</v>
      </c>
      <c r="J253" s="2">
        <f>IF(CleanSalesData[[#This Row],[Units_Sold]]=0,0,CleanSalesData[[#This Row],[Corrected Revenue]]/CleanSalesData[[#This Row],[Units_Sold]])</f>
        <v>30</v>
      </c>
    </row>
    <row r="254" spans="1:10" x14ac:dyDescent="0.25">
      <c r="A254" t="s">
        <v>12</v>
      </c>
      <c r="B254" s="3">
        <v>46205</v>
      </c>
      <c r="C254" t="s">
        <v>7</v>
      </c>
      <c r="D254">
        <v>130</v>
      </c>
      <c r="E254">
        <v>3900</v>
      </c>
      <c r="F254">
        <v>7053</v>
      </c>
      <c r="G254">
        <v>3900</v>
      </c>
      <c r="H254" t="str">
        <f>IF(CleanSalesData[[#This Row],[Corrected Revenue]]&gt;CleanSalesData[[#This Row],[Target]], "Good Profit", "Low Profit"  )</f>
        <v>Low Profit</v>
      </c>
      <c r="I254" s="1">
        <f>(CleanSalesData[[#This Row],[Corrected Revenue]]/CleanSalesData[[#This Row],[Target]])</f>
        <v>0.552956188855806</v>
      </c>
      <c r="J254" s="2">
        <f>IF(CleanSalesData[[#This Row],[Units_Sold]]=0,0,CleanSalesData[[#This Row],[Corrected Revenue]]/CleanSalesData[[#This Row],[Units_Sold]])</f>
        <v>30</v>
      </c>
    </row>
    <row r="255" spans="1:10" x14ac:dyDescent="0.25">
      <c r="A255" t="s">
        <v>12</v>
      </c>
      <c r="B255" s="3">
        <v>46205</v>
      </c>
      <c r="C255" t="s">
        <v>8</v>
      </c>
      <c r="D255">
        <v>215</v>
      </c>
      <c r="E255">
        <v>6450</v>
      </c>
      <c r="F255">
        <v>7051</v>
      </c>
      <c r="G255">
        <v>6450</v>
      </c>
      <c r="H255" t="str">
        <f>IF(CleanSalesData[[#This Row],[Corrected Revenue]]&gt;CleanSalesData[[#This Row],[Target]], "Good Profit", "Low Profit"  )</f>
        <v>Low Profit</v>
      </c>
      <c r="I255" s="1">
        <f>(CleanSalesData[[#This Row],[Corrected Revenue]]/CleanSalesData[[#This Row],[Target]])</f>
        <v>0.91476386328180403</v>
      </c>
      <c r="J255" s="2">
        <f>IF(CleanSalesData[[#This Row],[Units_Sold]]=0,0,CleanSalesData[[#This Row],[Corrected Revenue]]/CleanSalesData[[#This Row],[Units_Sold]])</f>
        <v>30</v>
      </c>
    </row>
    <row r="256" spans="1:10" x14ac:dyDescent="0.25">
      <c r="A256" t="s">
        <v>12</v>
      </c>
      <c r="B256" s="3">
        <v>46205</v>
      </c>
      <c r="C256" t="s">
        <v>9</v>
      </c>
      <c r="D256">
        <v>259</v>
      </c>
      <c r="E256">
        <v>7770</v>
      </c>
      <c r="F256">
        <v>3975</v>
      </c>
      <c r="G256">
        <v>7770</v>
      </c>
      <c r="H256" t="str">
        <f>IF(CleanSalesData[[#This Row],[Corrected Revenue]]&gt;CleanSalesData[[#This Row],[Target]], "Good Profit", "Low Profit"  )</f>
        <v>Good Profit</v>
      </c>
      <c r="I256" s="1">
        <f>(CleanSalesData[[#This Row],[Corrected Revenue]]/CleanSalesData[[#This Row],[Target]])</f>
        <v>1.9547169811320755</v>
      </c>
      <c r="J256" s="2">
        <f>IF(CleanSalesData[[#This Row],[Units_Sold]]=0,0,CleanSalesData[[#This Row],[Corrected Revenue]]/CleanSalesData[[#This Row],[Units_Sold]])</f>
        <v>30</v>
      </c>
    </row>
    <row r="257" spans="1:10" x14ac:dyDescent="0.25">
      <c r="A257" t="s">
        <v>12</v>
      </c>
      <c r="B257" s="3">
        <v>46205</v>
      </c>
      <c r="C257" t="s">
        <v>10</v>
      </c>
      <c r="D257">
        <v>173</v>
      </c>
      <c r="E257">
        <v>5190</v>
      </c>
      <c r="F257">
        <v>4226</v>
      </c>
      <c r="G257">
        <v>5190</v>
      </c>
      <c r="H257" t="str">
        <f>IF(CleanSalesData[[#This Row],[Corrected Revenue]]&gt;CleanSalesData[[#This Row],[Target]], "Good Profit", "Low Profit"  )</f>
        <v>Good Profit</v>
      </c>
      <c r="I257" s="1">
        <f>(CleanSalesData[[#This Row],[Corrected Revenue]]/CleanSalesData[[#This Row],[Target]])</f>
        <v>1.228111689540937</v>
      </c>
      <c r="J257" s="2">
        <f>IF(CleanSalesData[[#This Row],[Units_Sold]]=0,0,CleanSalesData[[#This Row],[Corrected Revenue]]/CleanSalesData[[#This Row],[Units_Sold]])</f>
        <v>30</v>
      </c>
    </row>
    <row r="258" spans="1:10" x14ac:dyDescent="0.25">
      <c r="A258" t="s">
        <v>12</v>
      </c>
      <c r="B258" s="3">
        <v>46206</v>
      </c>
      <c r="C258" t="s">
        <v>7</v>
      </c>
      <c r="D258">
        <v>238</v>
      </c>
      <c r="E258">
        <v>7140</v>
      </c>
      <c r="F258">
        <v>4274</v>
      </c>
      <c r="G258">
        <v>7140</v>
      </c>
      <c r="H258" t="str">
        <f>IF(CleanSalesData[[#This Row],[Corrected Revenue]]&gt;CleanSalesData[[#This Row],[Target]], "Good Profit", "Low Profit"  )</f>
        <v>Good Profit</v>
      </c>
      <c r="I258" s="1">
        <f>(CleanSalesData[[#This Row],[Corrected Revenue]]/CleanSalesData[[#This Row],[Target]])</f>
        <v>1.6705662143191389</v>
      </c>
      <c r="J258" s="2">
        <f>IF(CleanSalesData[[#This Row],[Units_Sold]]=0,0,CleanSalesData[[#This Row],[Corrected Revenue]]/CleanSalesData[[#This Row],[Units_Sold]])</f>
        <v>30</v>
      </c>
    </row>
    <row r="259" spans="1:10" x14ac:dyDescent="0.25">
      <c r="A259" t="s">
        <v>12</v>
      </c>
      <c r="B259" s="3">
        <v>46206</v>
      </c>
      <c r="C259" t="s">
        <v>8</v>
      </c>
      <c r="D259">
        <v>234</v>
      </c>
      <c r="E259">
        <v>7020</v>
      </c>
      <c r="F259">
        <v>3760</v>
      </c>
      <c r="G259">
        <v>7020</v>
      </c>
      <c r="H259" t="str">
        <f>IF(CleanSalesData[[#This Row],[Corrected Revenue]]&gt;CleanSalesData[[#This Row],[Target]], "Good Profit", "Low Profit"  )</f>
        <v>Good Profit</v>
      </c>
      <c r="I259" s="1">
        <f>(CleanSalesData[[#This Row],[Corrected Revenue]]/CleanSalesData[[#This Row],[Target]])</f>
        <v>1.8670212765957446</v>
      </c>
      <c r="J259" s="2">
        <f>IF(CleanSalesData[[#This Row],[Units_Sold]]=0,0,CleanSalesData[[#This Row],[Corrected Revenue]]/CleanSalesData[[#This Row],[Units_Sold]])</f>
        <v>30</v>
      </c>
    </row>
    <row r="260" spans="1:10" x14ac:dyDescent="0.25">
      <c r="A260" t="s">
        <v>12</v>
      </c>
      <c r="B260" s="3">
        <v>46206</v>
      </c>
      <c r="C260" t="s">
        <v>9</v>
      </c>
      <c r="D260">
        <v>212</v>
      </c>
      <c r="E260">
        <v>6360</v>
      </c>
      <c r="F260">
        <v>5587</v>
      </c>
      <c r="G260">
        <v>6360</v>
      </c>
      <c r="H260" t="str">
        <f>IF(CleanSalesData[[#This Row],[Corrected Revenue]]&gt;CleanSalesData[[#This Row],[Target]], "Good Profit", "Low Profit"  )</f>
        <v>Good Profit</v>
      </c>
      <c r="I260" s="1">
        <f>(CleanSalesData[[#This Row],[Corrected Revenue]]/CleanSalesData[[#This Row],[Target]])</f>
        <v>1.1383568999463038</v>
      </c>
      <c r="J260" s="2">
        <f>IF(CleanSalesData[[#This Row],[Units_Sold]]=0,0,CleanSalesData[[#This Row],[Corrected Revenue]]/CleanSalesData[[#This Row],[Units_Sold]])</f>
        <v>30</v>
      </c>
    </row>
    <row r="261" spans="1:10" x14ac:dyDescent="0.25">
      <c r="A261" t="s">
        <v>12</v>
      </c>
      <c r="B261" s="3">
        <v>46206</v>
      </c>
      <c r="C261" t="s">
        <v>10</v>
      </c>
      <c r="D261">
        <v>187</v>
      </c>
      <c r="E261">
        <v>5610</v>
      </c>
      <c r="F261">
        <v>5523</v>
      </c>
      <c r="G261">
        <v>5610</v>
      </c>
      <c r="H261" t="str">
        <f>IF(CleanSalesData[[#This Row],[Corrected Revenue]]&gt;CleanSalesData[[#This Row],[Target]], "Good Profit", "Low Profit"  )</f>
        <v>Good Profit</v>
      </c>
      <c r="I261" s="1">
        <f>(CleanSalesData[[#This Row],[Corrected Revenue]]/CleanSalesData[[#This Row],[Target]])</f>
        <v>1.0157523085279738</v>
      </c>
      <c r="J261" s="2">
        <f>IF(CleanSalesData[[#This Row],[Units_Sold]]=0,0,CleanSalesData[[#This Row],[Corrected Revenue]]/CleanSalesData[[#This Row],[Units_Sold]])</f>
        <v>30</v>
      </c>
    </row>
    <row r="262" spans="1:10" x14ac:dyDescent="0.25">
      <c r="A262" t="s">
        <v>12</v>
      </c>
      <c r="B262" s="3">
        <v>46207</v>
      </c>
      <c r="C262" t="s">
        <v>7</v>
      </c>
      <c r="D262">
        <v>127</v>
      </c>
      <c r="E262">
        <v>3810</v>
      </c>
      <c r="F262">
        <v>7936</v>
      </c>
      <c r="G262">
        <v>3810</v>
      </c>
      <c r="H262" t="str">
        <f>IF(CleanSalesData[[#This Row],[Corrected Revenue]]&gt;CleanSalesData[[#This Row],[Target]], "Good Profit", "Low Profit"  )</f>
        <v>Low Profit</v>
      </c>
      <c r="I262" s="1">
        <f>(CleanSalesData[[#This Row],[Corrected Revenue]]/CleanSalesData[[#This Row],[Target]])</f>
        <v>0.48009072580645162</v>
      </c>
      <c r="J262" s="2">
        <f>IF(CleanSalesData[[#This Row],[Units_Sold]]=0,0,CleanSalesData[[#This Row],[Corrected Revenue]]/CleanSalesData[[#This Row],[Units_Sold]])</f>
        <v>30</v>
      </c>
    </row>
    <row r="263" spans="1:10" x14ac:dyDescent="0.25">
      <c r="A263" t="s">
        <v>12</v>
      </c>
      <c r="B263" s="3">
        <v>46207</v>
      </c>
      <c r="C263" t="s">
        <v>8</v>
      </c>
      <c r="D263">
        <v>234</v>
      </c>
      <c r="E263">
        <v>7020</v>
      </c>
      <c r="F263">
        <v>7723</v>
      </c>
      <c r="G263">
        <v>7020</v>
      </c>
      <c r="H263" t="str">
        <f>IF(CleanSalesData[[#This Row],[Corrected Revenue]]&gt;CleanSalesData[[#This Row],[Target]], "Good Profit", "Low Profit"  )</f>
        <v>Low Profit</v>
      </c>
      <c r="I263" s="1">
        <f>(CleanSalesData[[#This Row],[Corrected Revenue]]/CleanSalesData[[#This Row],[Target]])</f>
        <v>0.90897319694419265</v>
      </c>
      <c r="J263" s="2">
        <f>IF(CleanSalesData[[#This Row],[Units_Sold]]=0,0,CleanSalesData[[#This Row],[Corrected Revenue]]/CleanSalesData[[#This Row],[Units_Sold]])</f>
        <v>30</v>
      </c>
    </row>
    <row r="264" spans="1:10" x14ac:dyDescent="0.25">
      <c r="A264" t="s">
        <v>12</v>
      </c>
      <c r="B264" s="3">
        <v>46207</v>
      </c>
      <c r="C264" t="s">
        <v>9</v>
      </c>
      <c r="D264">
        <v>208</v>
      </c>
      <c r="E264">
        <v>6240</v>
      </c>
      <c r="F264">
        <v>7587</v>
      </c>
      <c r="G264">
        <v>6240</v>
      </c>
      <c r="H264" t="str">
        <f>IF(CleanSalesData[[#This Row],[Corrected Revenue]]&gt;CleanSalesData[[#This Row],[Target]], "Good Profit", "Low Profit"  )</f>
        <v>Low Profit</v>
      </c>
      <c r="I264" s="1">
        <f>(CleanSalesData[[#This Row],[Corrected Revenue]]/CleanSalesData[[#This Row],[Target]])</f>
        <v>0.82245947014630294</v>
      </c>
      <c r="J264" s="2">
        <f>IF(CleanSalesData[[#This Row],[Units_Sold]]=0,0,CleanSalesData[[#This Row],[Corrected Revenue]]/CleanSalesData[[#This Row],[Units_Sold]])</f>
        <v>30</v>
      </c>
    </row>
    <row r="265" spans="1:10" x14ac:dyDescent="0.25">
      <c r="A265" t="s">
        <v>12</v>
      </c>
      <c r="B265" s="3">
        <v>46207</v>
      </c>
      <c r="C265" t="s">
        <v>10</v>
      </c>
      <c r="D265">
        <v>206</v>
      </c>
      <c r="E265">
        <v>6180</v>
      </c>
      <c r="F265">
        <v>3790</v>
      </c>
      <c r="G265">
        <v>6180</v>
      </c>
      <c r="H265" t="str">
        <f>IF(CleanSalesData[[#This Row],[Corrected Revenue]]&gt;CleanSalesData[[#This Row],[Target]], "Good Profit", "Low Profit"  )</f>
        <v>Good Profit</v>
      </c>
      <c r="I265" s="1">
        <f>(CleanSalesData[[#This Row],[Corrected Revenue]]/CleanSalesData[[#This Row],[Target]])</f>
        <v>1.6306068601583112</v>
      </c>
      <c r="J265" s="2">
        <f>IF(CleanSalesData[[#This Row],[Units_Sold]]=0,0,CleanSalesData[[#This Row],[Corrected Revenue]]/CleanSalesData[[#This Row],[Units_Sold]])</f>
        <v>30</v>
      </c>
    </row>
    <row r="266" spans="1:10" x14ac:dyDescent="0.25">
      <c r="A266" t="s">
        <v>12</v>
      </c>
      <c r="B266" s="3">
        <v>46208</v>
      </c>
      <c r="C266" t="s">
        <v>7</v>
      </c>
      <c r="D266">
        <v>130</v>
      </c>
      <c r="E266">
        <v>3900</v>
      </c>
      <c r="F266">
        <v>6844</v>
      </c>
      <c r="G266">
        <v>3900</v>
      </c>
      <c r="H266" t="str">
        <f>IF(CleanSalesData[[#This Row],[Corrected Revenue]]&gt;CleanSalesData[[#This Row],[Target]], "Good Profit", "Low Profit"  )</f>
        <v>Low Profit</v>
      </c>
      <c r="I266" s="1">
        <f>(CleanSalesData[[#This Row],[Corrected Revenue]]/CleanSalesData[[#This Row],[Target]])</f>
        <v>0.56984219754529519</v>
      </c>
      <c r="J266" s="2">
        <f>IF(CleanSalesData[[#This Row],[Units_Sold]]=0,0,CleanSalesData[[#This Row],[Corrected Revenue]]/CleanSalesData[[#This Row],[Units_Sold]])</f>
        <v>30</v>
      </c>
    </row>
    <row r="267" spans="1:10" x14ac:dyDescent="0.25">
      <c r="A267" t="s">
        <v>12</v>
      </c>
      <c r="B267" s="3">
        <v>46208</v>
      </c>
      <c r="C267" t="s">
        <v>8</v>
      </c>
      <c r="D267">
        <v>231</v>
      </c>
      <c r="E267">
        <v>6930</v>
      </c>
      <c r="F267">
        <v>6820</v>
      </c>
      <c r="G267">
        <v>6930</v>
      </c>
      <c r="H267" t="str">
        <f>IF(CleanSalesData[[#This Row],[Corrected Revenue]]&gt;CleanSalesData[[#This Row],[Target]], "Good Profit", "Low Profit"  )</f>
        <v>Good Profit</v>
      </c>
      <c r="I267" s="1">
        <f>(CleanSalesData[[#This Row],[Corrected Revenue]]/CleanSalesData[[#This Row],[Target]])</f>
        <v>1.0161290322580645</v>
      </c>
      <c r="J267" s="2">
        <f>IF(CleanSalesData[[#This Row],[Units_Sold]]=0,0,CleanSalesData[[#This Row],[Corrected Revenue]]/CleanSalesData[[#This Row],[Units_Sold]])</f>
        <v>30</v>
      </c>
    </row>
    <row r="268" spans="1:10" x14ac:dyDescent="0.25">
      <c r="A268" t="s">
        <v>12</v>
      </c>
      <c r="B268" s="3">
        <v>46208</v>
      </c>
      <c r="C268" t="s">
        <v>9</v>
      </c>
      <c r="D268">
        <v>257</v>
      </c>
      <c r="E268">
        <v>7710</v>
      </c>
      <c r="F268">
        <v>6328</v>
      </c>
      <c r="G268">
        <v>7710</v>
      </c>
      <c r="H268" t="str">
        <f>IF(CleanSalesData[[#This Row],[Corrected Revenue]]&gt;CleanSalesData[[#This Row],[Target]], "Good Profit", "Low Profit"  )</f>
        <v>Good Profit</v>
      </c>
      <c r="I268" s="1">
        <f>(CleanSalesData[[#This Row],[Corrected Revenue]]/CleanSalesData[[#This Row],[Target]])</f>
        <v>1.2183944374209861</v>
      </c>
      <c r="J268" s="2">
        <f>IF(CleanSalesData[[#This Row],[Units_Sold]]=0,0,CleanSalesData[[#This Row],[Corrected Revenue]]/CleanSalesData[[#This Row],[Units_Sold]])</f>
        <v>30</v>
      </c>
    </row>
    <row r="269" spans="1:10" x14ac:dyDescent="0.25">
      <c r="A269" t="s">
        <v>12</v>
      </c>
      <c r="B269" s="3">
        <v>46208</v>
      </c>
      <c r="C269" t="s">
        <v>9</v>
      </c>
      <c r="D269">
        <v>257</v>
      </c>
      <c r="E269">
        <v>7710</v>
      </c>
      <c r="F269">
        <v>6328</v>
      </c>
      <c r="G269">
        <v>7710</v>
      </c>
      <c r="H269" t="str">
        <f>IF(CleanSalesData[[#This Row],[Corrected Revenue]]&gt;CleanSalesData[[#This Row],[Target]], "Good Profit", "Low Profit"  )</f>
        <v>Good Profit</v>
      </c>
      <c r="I269" s="1">
        <f>(CleanSalesData[[#This Row],[Corrected Revenue]]/CleanSalesData[[#This Row],[Target]])</f>
        <v>1.2183944374209861</v>
      </c>
      <c r="J269" s="2">
        <f>IF(CleanSalesData[[#This Row],[Units_Sold]]=0,0,CleanSalesData[[#This Row],[Corrected Revenue]]/CleanSalesData[[#This Row],[Units_Sold]])</f>
        <v>30</v>
      </c>
    </row>
    <row r="270" spans="1:10" x14ac:dyDescent="0.25">
      <c r="A270" t="s">
        <v>12</v>
      </c>
      <c r="B270" s="3">
        <v>46208</v>
      </c>
      <c r="C270" t="s">
        <v>10</v>
      </c>
      <c r="D270">
        <v>111</v>
      </c>
      <c r="E270">
        <v>3330</v>
      </c>
      <c r="F270">
        <v>5629</v>
      </c>
      <c r="G270">
        <v>3330</v>
      </c>
      <c r="H270" t="str">
        <f>IF(CleanSalesData[[#This Row],[Corrected Revenue]]&gt;CleanSalesData[[#This Row],[Target]], "Good Profit", "Low Profit"  )</f>
        <v>Low Profit</v>
      </c>
      <c r="I270" s="1">
        <f>(CleanSalesData[[#This Row],[Corrected Revenue]]/CleanSalesData[[#This Row],[Target]])</f>
        <v>0.59157932137146918</v>
      </c>
      <c r="J270" s="2">
        <f>IF(CleanSalesData[[#This Row],[Units_Sold]]=0,0,CleanSalesData[[#This Row],[Corrected Revenue]]/CleanSalesData[[#This Row],[Units_Sold]])</f>
        <v>30</v>
      </c>
    </row>
    <row r="271" spans="1:10" x14ac:dyDescent="0.25">
      <c r="A271" t="s">
        <v>12</v>
      </c>
      <c r="B271" s="3">
        <v>46208</v>
      </c>
      <c r="C271" t="s">
        <v>10</v>
      </c>
      <c r="D271">
        <v>111</v>
      </c>
      <c r="E271">
        <v>3330</v>
      </c>
      <c r="F271">
        <v>5629</v>
      </c>
      <c r="G271">
        <v>3330</v>
      </c>
      <c r="H271" t="str">
        <f>IF(CleanSalesData[[#This Row],[Corrected Revenue]]&gt;CleanSalesData[[#This Row],[Target]], "Good Profit", "Low Profit"  )</f>
        <v>Low Profit</v>
      </c>
      <c r="I271" s="1">
        <f>(CleanSalesData[[#This Row],[Corrected Revenue]]/CleanSalesData[[#This Row],[Target]])</f>
        <v>0.59157932137146918</v>
      </c>
      <c r="J271" s="2">
        <f>IF(CleanSalesData[[#This Row],[Units_Sold]]=0,0,CleanSalesData[[#This Row],[Corrected Revenue]]/CleanSalesData[[#This Row],[Units_Sold]])</f>
        <v>30</v>
      </c>
    </row>
    <row r="272" spans="1:10" x14ac:dyDescent="0.25">
      <c r="A272" t="s">
        <v>12</v>
      </c>
      <c r="B272" s="3">
        <v>46209</v>
      </c>
      <c r="C272" t="s">
        <v>7</v>
      </c>
      <c r="D272">
        <v>221</v>
      </c>
      <c r="E272">
        <v>6630</v>
      </c>
      <c r="F272">
        <v>7741</v>
      </c>
      <c r="G272">
        <v>6630</v>
      </c>
      <c r="H272" t="str">
        <f>IF(CleanSalesData[[#This Row],[Corrected Revenue]]&gt;CleanSalesData[[#This Row],[Target]], "Good Profit", "Low Profit"  )</f>
        <v>Low Profit</v>
      </c>
      <c r="I272" s="1">
        <f>(CleanSalesData[[#This Row],[Corrected Revenue]]/CleanSalesData[[#This Row],[Target]])</f>
        <v>0.85647849115101404</v>
      </c>
      <c r="J272" s="2">
        <f>IF(CleanSalesData[[#This Row],[Units_Sold]]=0,0,CleanSalesData[[#This Row],[Corrected Revenue]]/CleanSalesData[[#This Row],[Units_Sold]])</f>
        <v>30</v>
      </c>
    </row>
    <row r="273" spans="1:10" x14ac:dyDescent="0.25">
      <c r="A273" t="s">
        <v>12</v>
      </c>
      <c r="B273" s="3">
        <v>46209</v>
      </c>
      <c r="C273" t="s">
        <v>8</v>
      </c>
      <c r="D273">
        <v>260</v>
      </c>
      <c r="E273">
        <v>7800</v>
      </c>
      <c r="F273">
        <v>7797</v>
      </c>
      <c r="G273">
        <v>7800</v>
      </c>
      <c r="H273" t="str">
        <f>IF(CleanSalesData[[#This Row],[Corrected Revenue]]&gt;CleanSalesData[[#This Row],[Target]], "Good Profit", "Low Profit"  )</f>
        <v>Good Profit</v>
      </c>
      <c r="I273" s="1">
        <f>(CleanSalesData[[#This Row],[Corrected Revenue]]/CleanSalesData[[#This Row],[Target]])</f>
        <v>1.0003847633705272</v>
      </c>
      <c r="J273" s="2">
        <f>IF(CleanSalesData[[#This Row],[Units_Sold]]=0,0,CleanSalesData[[#This Row],[Corrected Revenue]]/CleanSalesData[[#This Row],[Units_Sold]])</f>
        <v>30</v>
      </c>
    </row>
    <row r="274" spans="1:10" x14ac:dyDescent="0.25">
      <c r="A274" t="s">
        <v>12</v>
      </c>
      <c r="B274" s="3">
        <v>46209</v>
      </c>
      <c r="C274" t="s">
        <v>9</v>
      </c>
      <c r="D274">
        <v>195</v>
      </c>
      <c r="E274">
        <v>5850</v>
      </c>
      <c r="F274">
        <v>5371</v>
      </c>
      <c r="G274">
        <v>5850</v>
      </c>
      <c r="H274" t="str">
        <f>IF(CleanSalesData[[#This Row],[Corrected Revenue]]&gt;CleanSalesData[[#This Row],[Target]], "Good Profit", "Low Profit"  )</f>
        <v>Good Profit</v>
      </c>
      <c r="I274" s="1">
        <f>(CleanSalesData[[#This Row],[Corrected Revenue]]/CleanSalesData[[#This Row],[Target]])</f>
        <v>1.0891826475516664</v>
      </c>
      <c r="J274" s="2">
        <f>IF(CleanSalesData[[#This Row],[Units_Sold]]=0,0,CleanSalesData[[#This Row],[Corrected Revenue]]/CleanSalesData[[#This Row],[Units_Sold]])</f>
        <v>30</v>
      </c>
    </row>
    <row r="275" spans="1:10" x14ac:dyDescent="0.25">
      <c r="A275" t="s">
        <v>12</v>
      </c>
      <c r="B275" s="3">
        <v>46209</v>
      </c>
      <c r="C275" t="s">
        <v>10</v>
      </c>
      <c r="D275">
        <v>244</v>
      </c>
      <c r="E275">
        <v>7320</v>
      </c>
      <c r="F275">
        <v>8641</v>
      </c>
      <c r="G275">
        <v>7320</v>
      </c>
      <c r="H275" t="str">
        <f>IF(CleanSalesData[[#This Row],[Corrected Revenue]]&gt;CleanSalesData[[#This Row],[Target]], "Good Profit", "Low Profit"  )</f>
        <v>Low Profit</v>
      </c>
      <c r="I275" s="1">
        <f>(CleanSalesData[[#This Row],[Corrected Revenue]]/CleanSalesData[[#This Row],[Target]])</f>
        <v>0.84712417544265706</v>
      </c>
      <c r="J275" s="2">
        <f>IF(CleanSalesData[[#This Row],[Units_Sold]]=0,0,CleanSalesData[[#This Row],[Corrected Revenue]]/CleanSalesData[[#This Row],[Units_Sold]])</f>
        <v>30</v>
      </c>
    </row>
    <row r="276" spans="1:10" x14ac:dyDescent="0.25">
      <c r="A276" t="s">
        <v>12</v>
      </c>
      <c r="B276" s="3">
        <v>46209</v>
      </c>
      <c r="C276" t="s">
        <v>10</v>
      </c>
      <c r="D276">
        <v>244</v>
      </c>
      <c r="E276">
        <v>7320</v>
      </c>
      <c r="F276">
        <v>8641</v>
      </c>
      <c r="G276">
        <v>7320</v>
      </c>
      <c r="H276" t="str">
        <f>IF(CleanSalesData[[#This Row],[Corrected Revenue]]&gt;CleanSalesData[[#This Row],[Target]], "Good Profit", "Low Profit"  )</f>
        <v>Low Profit</v>
      </c>
      <c r="I276" s="1">
        <f>(CleanSalesData[[#This Row],[Corrected Revenue]]/CleanSalesData[[#This Row],[Target]])</f>
        <v>0.84712417544265706</v>
      </c>
      <c r="J276" s="2">
        <f>IF(CleanSalesData[[#This Row],[Units_Sold]]=0,0,CleanSalesData[[#This Row],[Corrected Revenue]]/CleanSalesData[[#This Row],[Units_Sold]])</f>
        <v>30</v>
      </c>
    </row>
    <row r="277" spans="1:10" x14ac:dyDescent="0.25">
      <c r="A277" t="s">
        <v>12</v>
      </c>
      <c r="B277" s="3">
        <v>46210</v>
      </c>
      <c r="C277" t="s">
        <v>7</v>
      </c>
      <c r="D277">
        <v>210</v>
      </c>
      <c r="E277">
        <v>6300</v>
      </c>
      <c r="F277">
        <v>3935</v>
      </c>
      <c r="G277">
        <v>6300</v>
      </c>
      <c r="H277" t="str">
        <f>IF(CleanSalesData[[#This Row],[Corrected Revenue]]&gt;CleanSalesData[[#This Row],[Target]], "Good Profit", "Low Profit"  )</f>
        <v>Good Profit</v>
      </c>
      <c r="I277" s="1">
        <f>(CleanSalesData[[#This Row],[Corrected Revenue]]/CleanSalesData[[#This Row],[Target]])</f>
        <v>1.6010165184243965</v>
      </c>
      <c r="J277" s="2">
        <f>IF(CleanSalesData[[#This Row],[Units_Sold]]=0,0,CleanSalesData[[#This Row],[Corrected Revenue]]/CleanSalesData[[#This Row],[Units_Sold]])</f>
        <v>30</v>
      </c>
    </row>
    <row r="278" spans="1:10" x14ac:dyDescent="0.25">
      <c r="A278" t="s">
        <v>12</v>
      </c>
      <c r="B278" s="3">
        <v>46210</v>
      </c>
      <c r="C278" t="s">
        <v>8</v>
      </c>
      <c r="D278">
        <v>179</v>
      </c>
      <c r="E278">
        <v>5370</v>
      </c>
      <c r="F278">
        <v>7292</v>
      </c>
      <c r="G278">
        <v>5370</v>
      </c>
      <c r="H278" t="str">
        <f>IF(CleanSalesData[[#This Row],[Corrected Revenue]]&gt;CleanSalesData[[#This Row],[Target]], "Good Profit", "Low Profit"  )</f>
        <v>Low Profit</v>
      </c>
      <c r="I278" s="1">
        <f>(CleanSalesData[[#This Row],[Corrected Revenue]]/CleanSalesData[[#This Row],[Target]])</f>
        <v>0.73642347778387274</v>
      </c>
      <c r="J278" s="2">
        <f>IF(CleanSalesData[[#This Row],[Units_Sold]]=0,0,CleanSalesData[[#This Row],[Corrected Revenue]]/CleanSalesData[[#This Row],[Units_Sold]])</f>
        <v>30</v>
      </c>
    </row>
    <row r="279" spans="1:10" x14ac:dyDescent="0.25">
      <c r="A279" t="s">
        <v>12</v>
      </c>
      <c r="B279" s="3">
        <v>46210</v>
      </c>
      <c r="C279" t="s">
        <v>8</v>
      </c>
      <c r="D279">
        <v>179</v>
      </c>
      <c r="E279">
        <v>5370</v>
      </c>
      <c r="F279">
        <v>7292</v>
      </c>
      <c r="G279">
        <v>5370</v>
      </c>
      <c r="H279" t="str">
        <f>IF(CleanSalesData[[#This Row],[Corrected Revenue]]&gt;CleanSalesData[[#This Row],[Target]], "Good Profit", "Low Profit"  )</f>
        <v>Low Profit</v>
      </c>
      <c r="I279" s="1">
        <f>(CleanSalesData[[#This Row],[Corrected Revenue]]/CleanSalesData[[#This Row],[Target]])</f>
        <v>0.73642347778387274</v>
      </c>
      <c r="J279" s="2">
        <f>IF(CleanSalesData[[#This Row],[Units_Sold]]=0,0,CleanSalesData[[#This Row],[Corrected Revenue]]/CleanSalesData[[#This Row],[Units_Sold]])</f>
        <v>30</v>
      </c>
    </row>
    <row r="280" spans="1:10" x14ac:dyDescent="0.25">
      <c r="A280" t="s">
        <v>12</v>
      </c>
      <c r="B280" s="3">
        <v>46210</v>
      </c>
      <c r="C280" t="s">
        <v>9</v>
      </c>
      <c r="D280">
        <v>209</v>
      </c>
      <c r="E280">
        <v>6270</v>
      </c>
      <c r="F280">
        <v>7902</v>
      </c>
      <c r="G280">
        <v>6270</v>
      </c>
      <c r="H280" t="str">
        <f>IF(CleanSalesData[[#This Row],[Corrected Revenue]]&gt;CleanSalesData[[#This Row],[Target]], "Good Profit", "Low Profit"  )</f>
        <v>Low Profit</v>
      </c>
      <c r="I280" s="1">
        <f>(CleanSalesData[[#This Row],[Corrected Revenue]]/CleanSalesData[[#This Row],[Target]])</f>
        <v>0.79347000759301445</v>
      </c>
      <c r="J280" s="2">
        <f>IF(CleanSalesData[[#This Row],[Units_Sold]]=0,0,CleanSalesData[[#This Row],[Corrected Revenue]]/CleanSalesData[[#This Row],[Units_Sold]])</f>
        <v>30</v>
      </c>
    </row>
    <row r="281" spans="1:10" x14ac:dyDescent="0.25">
      <c r="A281" t="s">
        <v>12</v>
      </c>
      <c r="B281" s="3">
        <v>46210</v>
      </c>
      <c r="C281" t="s">
        <v>10</v>
      </c>
      <c r="D281">
        <v>217</v>
      </c>
      <c r="E281">
        <v>6510</v>
      </c>
      <c r="F281">
        <v>4561</v>
      </c>
      <c r="G281">
        <v>6510</v>
      </c>
      <c r="H281" t="str">
        <f>IF(CleanSalesData[[#This Row],[Corrected Revenue]]&gt;CleanSalesData[[#This Row],[Target]], "Good Profit", "Low Profit"  )</f>
        <v>Good Profit</v>
      </c>
      <c r="I281" s="1">
        <f>(CleanSalesData[[#This Row],[Corrected Revenue]]/CleanSalesData[[#This Row],[Target]])</f>
        <v>1.427318570488928</v>
      </c>
      <c r="J281" s="2">
        <f>IF(CleanSalesData[[#This Row],[Units_Sold]]=0,0,CleanSalesData[[#This Row],[Corrected Revenue]]/CleanSalesData[[#This Row],[Units_Sold]])</f>
        <v>30</v>
      </c>
    </row>
    <row r="282" spans="1:10" x14ac:dyDescent="0.25">
      <c r="A282" t="s">
        <v>12</v>
      </c>
      <c r="B282" s="3">
        <v>46211</v>
      </c>
      <c r="C282" t="s">
        <v>7</v>
      </c>
      <c r="D282">
        <v>255</v>
      </c>
      <c r="E282">
        <v>7650</v>
      </c>
      <c r="F282">
        <v>7889</v>
      </c>
      <c r="G282">
        <v>7650</v>
      </c>
      <c r="H282" t="str">
        <f>IF(CleanSalesData[[#This Row],[Corrected Revenue]]&gt;CleanSalesData[[#This Row],[Target]], "Good Profit", "Low Profit"  )</f>
        <v>Low Profit</v>
      </c>
      <c r="I282" s="1">
        <f>(CleanSalesData[[#This Row],[Corrected Revenue]]/CleanSalesData[[#This Row],[Target]])</f>
        <v>0.96970465204715428</v>
      </c>
      <c r="J282" s="2">
        <f>IF(CleanSalesData[[#This Row],[Units_Sold]]=0,0,CleanSalesData[[#This Row],[Corrected Revenue]]/CleanSalesData[[#This Row],[Units_Sold]])</f>
        <v>30</v>
      </c>
    </row>
    <row r="283" spans="1:10" x14ac:dyDescent="0.25">
      <c r="A283" t="s">
        <v>12</v>
      </c>
      <c r="B283" s="3">
        <v>46211</v>
      </c>
      <c r="C283" t="s">
        <v>8</v>
      </c>
      <c r="D283">
        <v>274</v>
      </c>
      <c r="E283">
        <v>8220</v>
      </c>
      <c r="F283">
        <v>3855</v>
      </c>
      <c r="G283">
        <v>8220</v>
      </c>
      <c r="H283" t="str">
        <f>IF(CleanSalesData[[#This Row],[Corrected Revenue]]&gt;CleanSalesData[[#This Row],[Target]], "Good Profit", "Low Profit"  )</f>
        <v>Good Profit</v>
      </c>
      <c r="I283" s="1">
        <f>(CleanSalesData[[#This Row],[Corrected Revenue]]/CleanSalesData[[#This Row],[Target]])</f>
        <v>2.132295719844358</v>
      </c>
      <c r="J283" s="2">
        <f>IF(CleanSalesData[[#This Row],[Units_Sold]]=0,0,CleanSalesData[[#This Row],[Corrected Revenue]]/CleanSalesData[[#This Row],[Units_Sold]])</f>
        <v>30</v>
      </c>
    </row>
    <row r="284" spans="1:10" x14ac:dyDescent="0.25">
      <c r="A284" t="s">
        <v>12</v>
      </c>
      <c r="B284" s="3">
        <v>46211</v>
      </c>
      <c r="C284" t="s">
        <v>9</v>
      </c>
      <c r="D284">
        <v>108</v>
      </c>
      <c r="E284">
        <v>3240</v>
      </c>
      <c r="F284">
        <v>8367</v>
      </c>
      <c r="G284">
        <v>3240</v>
      </c>
      <c r="H284" t="str">
        <f>IF(CleanSalesData[[#This Row],[Corrected Revenue]]&gt;CleanSalesData[[#This Row],[Target]], "Good Profit", "Low Profit"  )</f>
        <v>Low Profit</v>
      </c>
      <c r="I284" s="1">
        <f>(CleanSalesData[[#This Row],[Corrected Revenue]]/CleanSalesData[[#This Row],[Target]])</f>
        <v>0.38723556830405165</v>
      </c>
      <c r="J284" s="2">
        <f>IF(CleanSalesData[[#This Row],[Units_Sold]]=0,0,CleanSalesData[[#This Row],[Corrected Revenue]]/CleanSalesData[[#This Row],[Units_Sold]])</f>
        <v>30</v>
      </c>
    </row>
    <row r="285" spans="1:10" x14ac:dyDescent="0.25">
      <c r="A285" t="s">
        <v>12</v>
      </c>
      <c r="B285" s="3">
        <v>46211</v>
      </c>
      <c r="C285" t="s">
        <v>10</v>
      </c>
      <c r="D285">
        <v>100</v>
      </c>
      <c r="E285">
        <v>3000</v>
      </c>
      <c r="F285">
        <v>4462</v>
      </c>
      <c r="G285">
        <v>3000</v>
      </c>
      <c r="H285" t="str">
        <f>IF(CleanSalesData[[#This Row],[Corrected Revenue]]&gt;CleanSalesData[[#This Row],[Target]], "Good Profit", "Low Profit"  )</f>
        <v>Low Profit</v>
      </c>
      <c r="I285" s="1">
        <f>(CleanSalesData[[#This Row],[Corrected Revenue]]/CleanSalesData[[#This Row],[Target]])</f>
        <v>0.67234424025100847</v>
      </c>
      <c r="J285" s="2">
        <f>IF(CleanSalesData[[#This Row],[Units_Sold]]=0,0,CleanSalesData[[#This Row],[Corrected Revenue]]/CleanSalesData[[#This Row],[Units_Sold]])</f>
        <v>30</v>
      </c>
    </row>
    <row r="286" spans="1:10" x14ac:dyDescent="0.25">
      <c r="A286" t="s">
        <v>12</v>
      </c>
      <c r="B286" s="3">
        <v>46212</v>
      </c>
      <c r="C286" t="s">
        <v>7</v>
      </c>
      <c r="D286">
        <v>267</v>
      </c>
      <c r="E286">
        <v>8010</v>
      </c>
      <c r="F286">
        <v>8834</v>
      </c>
      <c r="G286">
        <v>8010</v>
      </c>
      <c r="H286" t="str">
        <f>IF(CleanSalesData[[#This Row],[Corrected Revenue]]&gt;CleanSalesData[[#This Row],[Target]], "Good Profit", "Low Profit"  )</f>
        <v>Low Profit</v>
      </c>
      <c r="I286" s="1">
        <f>(CleanSalesData[[#This Row],[Corrected Revenue]]/CleanSalesData[[#This Row],[Target]])</f>
        <v>0.90672402082861669</v>
      </c>
      <c r="J286" s="2">
        <f>IF(CleanSalesData[[#This Row],[Units_Sold]]=0,0,CleanSalesData[[#This Row],[Corrected Revenue]]/CleanSalesData[[#This Row],[Units_Sold]])</f>
        <v>30</v>
      </c>
    </row>
    <row r="287" spans="1:10" x14ac:dyDescent="0.25">
      <c r="A287" t="s">
        <v>12</v>
      </c>
      <c r="B287" s="3">
        <v>46212</v>
      </c>
      <c r="C287" t="s">
        <v>8</v>
      </c>
      <c r="D287">
        <v>248</v>
      </c>
      <c r="E287">
        <v>7440</v>
      </c>
      <c r="F287">
        <v>8000</v>
      </c>
      <c r="G287">
        <v>7440</v>
      </c>
      <c r="H287" t="str">
        <f>IF(CleanSalesData[[#This Row],[Corrected Revenue]]&gt;CleanSalesData[[#This Row],[Target]], "Good Profit", "Low Profit"  )</f>
        <v>Low Profit</v>
      </c>
      <c r="I287" s="1">
        <f>(CleanSalesData[[#This Row],[Corrected Revenue]]/CleanSalesData[[#This Row],[Target]])</f>
        <v>0.93</v>
      </c>
      <c r="J287" s="2">
        <f>IF(CleanSalesData[[#This Row],[Units_Sold]]=0,0,CleanSalesData[[#This Row],[Corrected Revenue]]/CleanSalesData[[#This Row],[Units_Sold]])</f>
        <v>30</v>
      </c>
    </row>
    <row r="288" spans="1:10" x14ac:dyDescent="0.25">
      <c r="A288" t="s">
        <v>12</v>
      </c>
      <c r="B288" s="3">
        <v>46212</v>
      </c>
      <c r="C288" t="s">
        <v>8</v>
      </c>
      <c r="D288">
        <v>248</v>
      </c>
      <c r="E288">
        <v>7440</v>
      </c>
      <c r="F288">
        <v>8000</v>
      </c>
      <c r="G288">
        <v>7440</v>
      </c>
      <c r="H288" t="str">
        <f>IF(CleanSalesData[[#This Row],[Corrected Revenue]]&gt;CleanSalesData[[#This Row],[Target]], "Good Profit", "Low Profit"  )</f>
        <v>Low Profit</v>
      </c>
      <c r="I288" s="1">
        <f>(CleanSalesData[[#This Row],[Corrected Revenue]]/CleanSalesData[[#This Row],[Target]])</f>
        <v>0.93</v>
      </c>
      <c r="J288" s="2">
        <f>IF(CleanSalesData[[#This Row],[Units_Sold]]=0,0,CleanSalesData[[#This Row],[Corrected Revenue]]/CleanSalesData[[#This Row],[Units_Sold]])</f>
        <v>30</v>
      </c>
    </row>
    <row r="289" spans="1:10" x14ac:dyDescent="0.25">
      <c r="A289" t="s">
        <v>12</v>
      </c>
      <c r="B289" s="3">
        <v>46212</v>
      </c>
      <c r="C289" t="s">
        <v>9</v>
      </c>
      <c r="D289">
        <v>221</v>
      </c>
      <c r="E289">
        <v>6630</v>
      </c>
      <c r="F289">
        <v>7576</v>
      </c>
      <c r="G289">
        <v>6630</v>
      </c>
      <c r="H289" t="str">
        <f>IF(CleanSalesData[[#This Row],[Corrected Revenue]]&gt;CleanSalesData[[#This Row],[Target]], "Good Profit", "Low Profit"  )</f>
        <v>Low Profit</v>
      </c>
      <c r="I289" s="1">
        <f>(CleanSalesData[[#This Row],[Corrected Revenue]]/CleanSalesData[[#This Row],[Target]])</f>
        <v>0.87513199577613521</v>
      </c>
      <c r="J289" s="2">
        <f>IF(CleanSalesData[[#This Row],[Units_Sold]]=0,0,CleanSalesData[[#This Row],[Corrected Revenue]]/CleanSalesData[[#This Row],[Units_Sold]])</f>
        <v>30</v>
      </c>
    </row>
    <row r="290" spans="1:10" x14ac:dyDescent="0.25">
      <c r="A290" t="s">
        <v>12</v>
      </c>
      <c r="B290" s="3">
        <v>46212</v>
      </c>
      <c r="C290" t="s">
        <v>10</v>
      </c>
      <c r="D290">
        <v>240</v>
      </c>
      <c r="E290">
        <v>7200</v>
      </c>
      <c r="F290">
        <v>8197</v>
      </c>
      <c r="G290">
        <v>7200</v>
      </c>
      <c r="H290" t="str">
        <f>IF(CleanSalesData[[#This Row],[Corrected Revenue]]&gt;CleanSalesData[[#This Row],[Target]], "Good Profit", "Low Profit"  )</f>
        <v>Low Profit</v>
      </c>
      <c r="I290" s="1">
        <f>(CleanSalesData[[#This Row],[Corrected Revenue]]/CleanSalesData[[#This Row],[Target]])</f>
        <v>0.87837013541539588</v>
      </c>
      <c r="J290" s="2">
        <f>IF(CleanSalesData[[#This Row],[Units_Sold]]=0,0,CleanSalesData[[#This Row],[Corrected Revenue]]/CleanSalesData[[#This Row],[Units_Sold]])</f>
        <v>30</v>
      </c>
    </row>
    <row r="291" spans="1:10" x14ac:dyDescent="0.25">
      <c r="A291" t="s">
        <v>12</v>
      </c>
      <c r="B291" s="3">
        <v>46213</v>
      </c>
      <c r="C291" t="s">
        <v>7</v>
      </c>
      <c r="D291">
        <v>213</v>
      </c>
      <c r="E291">
        <v>6390</v>
      </c>
      <c r="F291">
        <v>8047</v>
      </c>
      <c r="G291">
        <v>6390</v>
      </c>
      <c r="H291" t="str">
        <f>IF(CleanSalesData[[#This Row],[Corrected Revenue]]&gt;CleanSalesData[[#This Row],[Target]], "Good Profit", "Low Profit"  )</f>
        <v>Low Profit</v>
      </c>
      <c r="I291" s="1">
        <f>(CleanSalesData[[#This Row],[Corrected Revenue]]/CleanSalesData[[#This Row],[Target]])</f>
        <v>0.79408475208152107</v>
      </c>
      <c r="J291" s="2">
        <f>IF(CleanSalesData[[#This Row],[Units_Sold]]=0,0,CleanSalesData[[#This Row],[Corrected Revenue]]/CleanSalesData[[#This Row],[Units_Sold]])</f>
        <v>30</v>
      </c>
    </row>
    <row r="292" spans="1:10" x14ac:dyDescent="0.25">
      <c r="A292" t="s">
        <v>12</v>
      </c>
      <c r="B292" s="3">
        <v>46213</v>
      </c>
      <c r="C292" t="s">
        <v>8</v>
      </c>
      <c r="D292">
        <v>209</v>
      </c>
      <c r="E292">
        <v>6270</v>
      </c>
      <c r="F292">
        <v>6960</v>
      </c>
      <c r="G292">
        <v>6270</v>
      </c>
      <c r="H292" t="str">
        <f>IF(CleanSalesData[[#This Row],[Corrected Revenue]]&gt;CleanSalesData[[#This Row],[Target]], "Good Profit", "Low Profit"  )</f>
        <v>Low Profit</v>
      </c>
      <c r="I292" s="1">
        <f>(CleanSalesData[[#This Row],[Corrected Revenue]]/CleanSalesData[[#This Row],[Target]])</f>
        <v>0.90086206896551724</v>
      </c>
      <c r="J292" s="2">
        <f>IF(CleanSalesData[[#This Row],[Units_Sold]]=0,0,CleanSalesData[[#This Row],[Corrected Revenue]]/CleanSalesData[[#This Row],[Units_Sold]])</f>
        <v>30</v>
      </c>
    </row>
    <row r="293" spans="1:10" x14ac:dyDescent="0.25">
      <c r="A293" t="s">
        <v>12</v>
      </c>
      <c r="B293" s="3">
        <v>46213</v>
      </c>
      <c r="C293" t="s">
        <v>9</v>
      </c>
      <c r="D293">
        <v>151</v>
      </c>
      <c r="E293">
        <v>4530</v>
      </c>
      <c r="F293">
        <v>7689</v>
      </c>
      <c r="G293">
        <v>4530</v>
      </c>
      <c r="H293" t="str">
        <f>IF(CleanSalesData[[#This Row],[Corrected Revenue]]&gt;CleanSalesData[[#This Row],[Target]], "Good Profit", "Low Profit"  )</f>
        <v>Low Profit</v>
      </c>
      <c r="I293" s="1">
        <f>(CleanSalesData[[#This Row],[Corrected Revenue]]/CleanSalesData[[#This Row],[Target]])</f>
        <v>0.58915333593445185</v>
      </c>
      <c r="J293" s="2">
        <f>IF(CleanSalesData[[#This Row],[Units_Sold]]=0,0,CleanSalesData[[#This Row],[Corrected Revenue]]/CleanSalesData[[#This Row],[Units_Sold]])</f>
        <v>30</v>
      </c>
    </row>
    <row r="294" spans="1:10" x14ac:dyDescent="0.25">
      <c r="A294" t="s">
        <v>12</v>
      </c>
      <c r="B294" s="3">
        <v>46213</v>
      </c>
      <c r="C294" t="s">
        <v>10</v>
      </c>
      <c r="D294">
        <v>207</v>
      </c>
      <c r="E294">
        <v>6210</v>
      </c>
      <c r="F294">
        <v>5748</v>
      </c>
      <c r="G294">
        <v>6210</v>
      </c>
      <c r="H294" t="str">
        <f>IF(CleanSalesData[[#This Row],[Corrected Revenue]]&gt;CleanSalesData[[#This Row],[Target]], "Good Profit", "Low Profit"  )</f>
        <v>Good Profit</v>
      </c>
      <c r="I294" s="1">
        <f>(CleanSalesData[[#This Row],[Corrected Revenue]]/CleanSalesData[[#This Row],[Target]])</f>
        <v>1.0803757828810021</v>
      </c>
      <c r="J294" s="2">
        <f>IF(CleanSalesData[[#This Row],[Units_Sold]]=0,0,CleanSalesData[[#This Row],[Corrected Revenue]]/CleanSalesData[[#This Row],[Units_Sold]])</f>
        <v>30</v>
      </c>
    </row>
    <row r="295" spans="1:10" x14ac:dyDescent="0.25">
      <c r="A295" t="s">
        <v>12</v>
      </c>
      <c r="B295" s="3">
        <v>46214</v>
      </c>
      <c r="C295" t="s">
        <v>7</v>
      </c>
      <c r="D295">
        <v>216</v>
      </c>
      <c r="E295">
        <v>6480</v>
      </c>
      <c r="F295">
        <v>8194</v>
      </c>
      <c r="G295">
        <v>6480</v>
      </c>
      <c r="H295" t="str">
        <f>IF(CleanSalesData[[#This Row],[Corrected Revenue]]&gt;CleanSalesData[[#This Row],[Target]], "Good Profit", "Low Profit"  )</f>
        <v>Low Profit</v>
      </c>
      <c r="I295" s="1">
        <f>(CleanSalesData[[#This Row],[Corrected Revenue]]/CleanSalesData[[#This Row],[Target]])</f>
        <v>0.79082255308762506</v>
      </c>
      <c r="J295" s="2">
        <f>IF(CleanSalesData[[#This Row],[Units_Sold]]=0,0,CleanSalesData[[#This Row],[Corrected Revenue]]/CleanSalesData[[#This Row],[Units_Sold]])</f>
        <v>30</v>
      </c>
    </row>
    <row r="296" spans="1:10" x14ac:dyDescent="0.25">
      <c r="A296" t="s">
        <v>12</v>
      </c>
      <c r="B296" s="3">
        <v>46214</v>
      </c>
      <c r="C296" t="s">
        <v>8</v>
      </c>
      <c r="D296">
        <v>229</v>
      </c>
      <c r="E296">
        <v>6870</v>
      </c>
      <c r="F296">
        <v>5927</v>
      </c>
      <c r="G296">
        <v>6870</v>
      </c>
      <c r="H296" t="str">
        <f>IF(CleanSalesData[[#This Row],[Corrected Revenue]]&gt;CleanSalesData[[#This Row],[Target]], "Good Profit", "Low Profit"  )</f>
        <v>Good Profit</v>
      </c>
      <c r="I296" s="1">
        <f>(CleanSalesData[[#This Row],[Corrected Revenue]]/CleanSalesData[[#This Row],[Target]])</f>
        <v>1.1591024126877003</v>
      </c>
      <c r="J296" s="2">
        <f>IF(CleanSalesData[[#This Row],[Units_Sold]]=0,0,CleanSalesData[[#This Row],[Corrected Revenue]]/CleanSalesData[[#This Row],[Units_Sold]])</f>
        <v>30</v>
      </c>
    </row>
    <row r="297" spans="1:10" x14ac:dyDescent="0.25">
      <c r="A297" t="s">
        <v>12</v>
      </c>
      <c r="B297" s="3">
        <v>46214</v>
      </c>
      <c r="C297" t="s">
        <v>9</v>
      </c>
      <c r="D297">
        <v>132</v>
      </c>
      <c r="E297">
        <v>3960</v>
      </c>
      <c r="F297">
        <v>4831</v>
      </c>
      <c r="G297">
        <v>3960</v>
      </c>
      <c r="H297" t="str">
        <f>IF(CleanSalesData[[#This Row],[Corrected Revenue]]&gt;CleanSalesData[[#This Row],[Target]], "Good Profit", "Low Profit"  )</f>
        <v>Low Profit</v>
      </c>
      <c r="I297" s="1">
        <f>(CleanSalesData[[#This Row],[Corrected Revenue]]/CleanSalesData[[#This Row],[Target]])</f>
        <v>0.81970606499689502</v>
      </c>
      <c r="J297" s="2">
        <f>IF(CleanSalesData[[#This Row],[Units_Sold]]=0,0,CleanSalesData[[#This Row],[Corrected Revenue]]/CleanSalesData[[#This Row],[Units_Sold]])</f>
        <v>30</v>
      </c>
    </row>
    <row r="298" spans="1:10" x14ac:dyDescent="0.25">
      <c r="A298" t="s">
        <v>12</v>
      </c>
      <c r="B298" s="3">
        <v>46214</v>
      </c>
      <c r="C298" t="s">
        <v>10</v>
      </c>
      <c r="D298">
        <v>176</v>
      </c>
      <c r="E298">
        <v>5280</v>
      </c>
      <c r="F298">
        <v>6975</v>
      </c>
      <c r="G298">
        <v>5280</v>
      </c>
      <c r="H298" t="str">
        <f>IF(CleanSalesData[[#This Row],[Corrected Revenue]]&gt;CleanSalesData[[#This Row],[Target]], "Good Profit", "Low Profit"  )</f>
        <v>Low Profit</v>
      </c>
      <c r="I298" s="1">
        <f>(CleanSalesData[[#This Row],[Corrected Revenue]]/CleanSalesData[[#This Row],[Target]])</f>
        <v>0.75698924731182793</v>
      </c>
      <c r="J298" s="2">
        <f>IF(CleanSalesData[[#This Row],[Units_Sold]]=0,0,CleanSalesData[[#This Row],[Corrected Revenue]]/CleanSalesData[[#This Row],[Units_Sold]])</f>
        <v>30</v>
      </c>
    </row>
    <row r="299" spans="1:10" x14ac:dyDescent="0.25">
      <c r="A299" t="s">
        <v>12</v>
      </c>
      <c r="B299" s="3">
        <v>46215</v>
      </c>
      <c r="C299" t="s">
        <v>7</v>
      </c>
      <c r="D299">
        <v>250</v>
      </c>
      <c r="E299">
        <v>7500</v>
      </c>
      <c r="F299">
        <v>6324</v>
      </c>
      <c r="G299">
        <v>7500</v>
      </c>
      <c r="H299" t="str">
        <f>IF(CleanSalesData[[#This Row],[Corrected Revenue]]&gt;CleanSalesData[[#This Row],[Target]], "Good Profit", "Low Profit"  )</f>
        <v>Good Profit</v>
      </c>
      <c r="I299" s="1">
        <f>(CleanSalesData[[#This Row],[Corrected Revenue]]/CleanSalesData[[#This Row],[Target]])</f>
        <v>1.1859582542694498</v>
      </c>
      <c r="J299" s="2">
        <f>IF(CleanSalesData[[#This Row],[Units_Sold]]=0,0,CleanSalesData[[#This Row],[Corrected Revenue]]/CleanSalesData[[#This Row],[Units_Sold]])</f>
        <v>30</v>
      </c>
    </row>
    <row r="300" spans="1:10" x14ac:dyDescent="0.25">
      <c r="A300" t="s">
        <v>12</v>
      </c>
      <c r="B300" s="3">
        <v>46215</v>
      </c>
      <c r="C300" t="s">
        <v>8</v>
      </c>
      <c r="D300">
        <v>253</v>
      </c>
      <c r="E300">
        <v>7590</v>
      </c>
      <c r="F300">
        <v>5554</v>
      </c>
      <c r="G300">
        <v>7590</v>
      </c>
      <c r="H300" t="str">
        <f>IF(CleanSalesData[[#This Row],[Corrected Revenue]]&gt;CleanSalesData[[#This Row],[Target]], "Good Profit", "Low Profit"  )</f>
        <v>Good Profit</v>
      </c>
      <c r="I300" s="1">
        <f>(CleanSalesData[[#This Row],[Corrected Revenue]]/CleanSalesData[[#This Row],[Target]])</f>
        <v>1.3665826431400792</v>
      </c>
      <c r="J300" s="2">
        <f>IF(CleanSalesData[[#This Row],[Units_Sold]]=0,0,CleanSalesData[[#This Row],[Corrected Revenue]]/CleanSalesData[[#This Row],[Units_Sold]])</f>
        <v>30</v>
      </c>
    </row>
    <row r="301" spans="1:10" x14ac:dyDescent="0.25">
      <c r="A301" t="s">
        <v>12</v>
      </c>
      <c r="B301" s="3">
        <v>46215</v>
      </c>
      <c r="C301" t="s">
        <v>9</v>
      </c>
      <c r="D301">
        <v>126</v>
      </c>
      <c r="E301">
        <v>3780</v>
      </c>
      <c r="F301">
        <v>8437</v>
      </c>
      <c r="G301">
        <v>3780</v>
      </c>
      <c r="H301" t="str">
        <f>IF(CleanSalesData[[#This Row],[Corrected Revenue]]&gt;CleanSalesData[[#This Row],[Target]], "Good Profit", "Low Profit"  )</f>
        <v>Low Profit</v>
      </c>
      <c r="I301" s="1">
        <f>(CleanSalesData[[#This Row],[Corrected Revenue]]/CleanSalesData[[#This Row],[Target]])</f>
        <v>0.448026549721465</v>
      </c>
      <c r="J301" s="2">
        <f>IF(CleanSalesData[[#This Row],[Units_Sold]]=0,0,CleanSalesData[[#This Row],[Corrected Revenue]]/CleanSalesData[[#This Row],[Units_Sold]])</f>
        <v>30</v>
      </c>
    </row>
    <row r="302" spans="1:10" x14ac:dyDescent="0.25">
      <c r="A302" t="s">
        <v>12</v>
      </c>
      <c r="B302" s="3">
        <v>46215</v>
      </c>
      <c r="C302" t="s">
        <v>10</v>
      </c>
      <c r="D302">
        <v>221</v>
      </c>
      <c r="E302">
        <v>6630</v>
      </c>
      <c r="F302">
        <v>7144</v>
      </c>
      <c r="G302">
        <v>6630</v>
      </c>
      <c r="H302" t="str">
        <f>IF(CleanSalesData[[#This Row],[Corrected Revenue]]&gt;CleanSalesData[[#This Row],[Target]], "Good Profit", "Low Profit"  )</f>
        <v>Low Profit</v>
      </c>
      <c r="I302" s="1">
        <f>(CleanSalesData[[#This Row],[Corrected Revenue]]/CleanSalesData[[#This Row],[Target]])</f>
        <v>0.92805151175811873</v>
      </c>
      <c r="J302" s="2">
        <f>IF(CleanSalesData[[#This Row],[Units_Sold]]=0,0,CleanSalesData[[#This Row],[Corrected Revenue]]/CleanSalesData[[#This Row],[Units_Sold]])</f>
        <v>30</v>
      </c>
    </row>
    <row r="303" spans="1:10" x14ac:dyDescent="0.25">
      <c r="A303" t="s">
        <v>12</v>
      </c>
      <c r="B303" s="3">
        <v>46215</v>
      </c>
      <c r="C303" t="s">
        <v>10</v>
      </c>
      <c r="D303">
        <v>221</v>
      </c>
      <c r="E303">
        <v>6630</v>
      </c>
      <c r="F303">
        <v>7144</v>
      </c>
      <c r="G303">
        <v>6630</v>
      </c>
      <c r="H303" t="str">
        <f>IF(CleanSalesData[[#This Row],[Corrected Revenue]]&gt;CleanSalesData[[#This Row],[Target]], "Good Profit", "Low Profit"  )</f>
        <v>Low Profit</v>
      </c>
      <c r="I303" s="1">
        <f>(CleanSalesData[[#This Row],[Corrected Revenue]]/CleanSalesData[[#This Row],[Target]])</f>
        <v>0.92805151175811873</v>
      </c>
      <c r="J303" s="2">
        <f>IF(CleanSalesData[[#This Row],[Units_Sold]]=0,0,CleanSalesData[[#This Row],[Corrected Revenue]]/CleanSalesData[[#This Row],[Units_Sold]])</f>
        <v>30</v>
      </c>
    </row>
    <row r="304" spans="1:10" x14ac:dyDescent="0.25">
      <c r="A304" t="s">
        <v>12</v>
      </c>
      <c r="B304" s="3">
        <v>46216</v>
      </c>
      <c r="C304" t="s">
        <v>7</v>
      </c>
      <c r="D304">
        <v>179</v>
      </c>
      <c r="E304">
        <v>5370</v>
      </c>
      <c r="F304">
        <v>5082</v>
      </c>
      <c r="G304">
        <v>5370</v>
      </c>
      <c r="H304" t="str">
        <f>IF(CleanSalesData[[#This Row],[Corrected Revenue]]&gt;CleanSalesData[[#This Row],[Target]], "Good Profit", "Low Profit"  )</f>
        <v>Good Profit</v>
      </c>
      <c r="I304" s="1">
        <f>(CleanSalesData[[#This Row],[Corrected Revenue]]/CleanSalesData[[#This Row],[Target]])</f>
        <v>1.0566706021251475</v>
      </c>
      <c r="J304" s="2">
        <f>IF(CleanSalesData[[#This Row],[Units_Sold]]=0,0,CleanSalesData[[#This Row],[Corrected Revenue]]/CleanSalesData[[#This Row],[Units_Sold]])</f>
        <v>30</v>
      </c>
    </row>
    <row r="305" spans="1:10" x14ac:dyDescent="0.25">
      <c r="A305" t="s">
        <v>12</v>
      </c>
      <c r="B305" s="3">
        <v>46216</v>
      </c>
      <c r="C305" t="s">
        <v>8</v>
      </c>
      <c r="D305">
        <v>241</v>
      </c>
      <c r="E305">
        <v>7230</v>
      </c>
      <c r="F305">
        <v>4334</v>
      </c>
      <c r="G305">
        <v>7230</v>
      </c>
      <c r="H305" t="str">
        <f>IF(CleanSalesData[[#This Row],[Corrected Revenue]]&gt;CleanSalesData[[#This Row],[Target]], "Good Profit", "Low Profit"  )</f>
        <v>Good Profit</v>
      </c>
      <c r="I305" s="1">
        <f>(CleanSalesData[[#This Row],[Corrected Revenue]]/CleanSalesData[[#This Row],[Target]])</f>
        <v>1.6682048915551453</v>
      </c>
      <c r="J305" s="2">
        <f>IF(CleanSalesData[[#This Row],[Units_Sold]]=0,0,CleanSalesData[[#This Row],[Corrected Revenue]]/CleanSalesData[[#This Row],[Units_Sold]])</f>
        <v>30</v>
      </c>
    </row>
    <row r="306" spans="1:10" x14ac:dyDescent="0.25">
      <c r="A306" t="s">
        <v>12</v>
      </c>
      <c r="B306" s="3">
        <v>46216</v>
      </c>
      <c r="C306" t="s">
        <v>9</v>
      </c>
      <c r="D306">
        <v>238</v>
      </c>
      <c r="E306">
        <v>7140</v>
      </c>
      <c r="F306">
        <v>8720</v>
      </c>
      <c r="G306">
        <v>7140</v>
      </c>
      <c r="H306" t="str">
        <f>IF(CleanSalesData[[#This Row],[Corrected Revenue]]&gt;CleanSalesData[[#This Row],[Target]], "Good Profit", "Low Profit"  )</f>
        <v>Low Profit</v>
      </c>
      <c r="I306" s="1">
        <f>(CleanSalesData[[#This Row],[Corrected Revenue]]/CleanSalesData[[#This Row],[Target]])</f>
        <v>0.81880733944954132</v>
      </c>
      <c r="J306" s="2">
        <f>IF(CleanSalesData[[#This Row],[Units_Sold]]=0,0,CleanSalesData[[#This Row],[Corrected Revenue]]/CleanSalesData[[#This Row],[Units_Sold]])</f>
        <v>30</v>
      </c>
    </row>
    <row r="307" spans="1:10" x14ac:dyDescent="0.25">
      <c r="A307" t="s">
        <v>12</v>
      </c>
      <c r="B307" s="3">
        <v>46216</v>
      </c>
      <c r="C307" t="s">
        <v>10</v>
      </c>
      <c r="D307">
        <v>108</v>
      </c>
      <c r="E307">
        <v>3240</v>
      </c>
      <c r="F307">
        <v>5003</v>
      </c>
      <c r="G307">
        <v>3240</v>
      </c>
      <c r="H307" t="str">
        <f>IF(CleanSalesData[[#This Row],[Corrected Revenue]]&gt;CleanSalesData[[#This Row],[Target]], "Good Profit", "Low Profit"  )</f>
        <v>Low Profit</v>
      </c>
      <c r="I307" s="1">
        <f>(CleanSalesData[[#This Row],[Corrected Revenue]]/CleanSalesData[[#This Row],[Target]])</f>
        <v>0.64761143314011593</v>
      </c>
      <c r="J307" s="2">
        <f>IF(CleanSalesData[[#This Row],[Units_Sold]]=0,0,CleanSalesData[[#This Row],[Corrected Revenue]]/CleanSalesData[[#This Row],[Units_Sold]])</f>
        <v>30</v>
      </c>
    </row>
    <row r="308" spans="1:10" x14ac:dyDescent="0.25">
      <c r="A308" t="s">
        <v>12</v>
      </c>
      <c r="B308" s="3">
        <v>46217</v>
      </c>
      <c r="C308" t="s">
        <v>7</v>
      </c>
      <c r="D308">
        <v>215</v>
      </c>
      <c r="E308">
        <v>6450</v>
      </c>
      <c r="F308">
        <v>5425</v>
      </c>
      <c r="G308">
        <v>6450</v>
      </c>
      <c r="H308" t="str">
        <f>IF(CleanSalesData[[#This Row],[Corrected Revenue]]&gt;CleanSalesData[[#This Row],[Target]], "Good Profit", "Low Profit"  )</f>
        <v>Good Profit</v>
      </c>
      <c r="I308" s="1">
        <f>(CleanSalesData[[#This Row],[Corrected Revenue]]/CleanSalesData[[#This Row],[Target]])</f>
        <v>1.1889400921658986</v>
      </c>
      <c r="J308" s="2">
        <f>IF(CleanSalesData[[#This Row],[Units_Sold]]=0,0,CleanSalesData[[#This Row],[Corrected Revenue]]/CleanSalesData[[#This Row],[Units_Sold]])</f>
        <v>30</v>
      </c>
    </row>
    <row r="309" spans="1:10" x14ac:dyDescent="0.25">
      <c r="A309" t="s">
        <v>12</v>
      </c>
      <c r="B309" s="3">
        <v>46217</v>
      </c>
      <c r="C309" t="s">
        <v>8</v>
      </c>
      <c r="D309">
        <v>160</v>
      </c>
      <c r="E309">
        <v>4800</v>
      </c>
      <c r="F309">
        <v>7993</v>
      </c>
      <c r="G309">
        <v>4800</v>
      </c>
      <c r="H309" t="str">
        <f>IF(CleanSalesData[[#This Row],[Corrected Revenue]]&gt;CleanSalesData[[#This Row],[Target]], "Good Profit", "Low Profit"  )</f>
        <v>Low Profit</v>
      </c>
      <c r="I309" s="1">
        <f>(CleanSalesData[[#This Row],[Corrected Revenue]]/CleanSalesData[[#This Row],[Target]])</f>
        <v>0.60052545977730509</v>
      </c>
      <c r="J309" s="2">
        <f>IF(CleanSalesData[[#This Row],[Units_Sold]]=0,0,CleanSalesData[[#This Row],[Corrected Revenue]]/CleanSalesData[[#This Row],[Units_Sold]])</f>
        <v>30</v>
      </c>
    </row>
    <row r="310" spans="1:10" x14ac:dyDescent="0.25">
      <c r="A310" t="s">
        <v>12</v>
      </c>
      <c r="B310" s="3">
        <v>46217</v>
      </c>
      <c r="C310" t="s">
        <v>9</v>
      </c>
      <c r="D310">
        <v>251</v>
      </c>
      <c r="E310">
        <v>7530</v>
      </c>
      <c r="F310">
        <v>3979</v>
      </c>
      <c r="G310">
        <v>7530</v>
      </c>
      <c r="H310" t="str">
        <f>IF(CleanSalesData[[#This Row],[Corrected Revenue]]&gt;CleanSalesData[[#This Row],[Target]], "Good Profit", "Low Profit"  )</f>
        <v>Good Profit</v>
      </c>
      <c r="I310" s="1">
        <f>(CleanSalesData[[#This Row],[Corrected Revenue]]/CleanSalesData[[#This Row],[Target]])</f>
        <v>1.8924352852475497</v>
      </c>
      <c r="J310" s="2">
        <f>IF(CleanSalesData[[#This Row],[Units_Sold]]=0,0,CleanSalesData[[#This Row],[Corrected Revenue]]/CleanSalesData[[#This Row],[Units_Sold]])</f>
        <v>30</v>
      </c>
    </row>
    <row r="311" spans="1:10" x14ac:dyDescent="0.25">
      <c r="A311" t="s">
        <v>12</v>
      </c>
      <c r="B311" s="3">
        <v>46217</v>
      </c>
      <c r="C311" t="s">
        <v>10</v>
      </c>
      <c r="D311">
        <v>104</v>
      </c>
      <c r="E311">
        <v>3120</v>
      </c>
      <c r="F311">
        <v>6883</v>
      </c>
      <c r="G311">
        <v>3120</v>
      </c>
      <c r="H311" t="str">
        <f>IF(CleanSalesData[[#This Row],[Corrected Revenue]]&gt;CleanSalesData[[#This Row],[Target]], "Good Profit", "Low Profit"  )</f>
        <v>Low Profit</v>
      </c>
      <c r="I311" s="1">
        <f>(CleanSalesData[[#This Row],[Corrected Revenue]]/CleanSalesData[[#This Row],[Target]])</f>
        <v>0.45329071625744588</v>
      </c>
      <c r="J311" s="2">
        <f>IF(CleanSalesData[[#This Row],[Units_Sold]]=0,0,CleanSalesData[[#This Row],[Corrected Revenue]]/CleanSalesData[[#This Row],[Units_Sold]])</f>
        <v>30</v>
      </c>
    </row>
    <row r="312" spans="1:10" x14ac:dyDescent="0.25">
      <c r="A312" t="s">
        <v>12</v>
      </c>
      <c r="B312" s="3">
        <v>46218</v>
      </c>
      <c r="C312" t="s">
        <v>7</v>
      </c>
      <c r="D312">
        <v>129</v>
      </c>
      <c r="E312">
        <v>3870</v>
      </c>
      <c r="F312">
        <v>8202</v>
      </c>
      <c r="G312">
        <v>3870</v>
      </c>
      <c r="H312" t="str">
        <f>IF(CleanSalesData[[#This Row],[Corrected Revenue]]&gt;CleanSalesData[[#This Row],[Target]], "Good Profit", "Low Profit"  )</f>
        <v>Low Profit</v>
      </c>
      <c r="I312" s="1">
        <f>(CleanSalesData[[#This Row],[Corrected Revenue]]/CleanSalesData[[#This Row],[Target]])</f>
        <v>0.47183613752743231</v>
      </c>
      <c r="J312" s="2">
        <f>IF(CleanSalesData[[#This Row],[Units_Sold]]=0,0,CleanSalesData[[#This Row],[Corrected Revenue]]/CleanSalesData[[#This Row],[Units_Sold]])</f>
        <v>30</v>
      </c>
    </row>
    <row r="313" spans="1:10" x14ac:dyDescent="0.25">
      <c r="A313" t="s">
        <v>12</v>
      </c>
      <c r="B313" s="3">
        <v>46218</v>
      </c>
      <c r="C313" t="s">
        <v>8</v>
      </c>
      <c r="D313">
        <v>195</v>
      </c>
      <c r="E313">
        <v>5850</v>
      </c>
      <c r="F313">
        <v>8855</v>
      </c>
      <c r="G313">
        <v>5850</v>
      </c>
      <c r="H313" t="str">
        <f>IF(CleanSalesData[[#This Row],[Corrected Revenue]]&gt;CleanSalesData[[#This Row],[Target]], "Good Profit", "Low Profit"  )</f>
        <v>Low Profit</v>
      </c>
      <c r="I313" s="1">
        <f>(CleanSalesData[[#This Row],[Corrected Revenue]]/CleanSalesData[[#This Row],[Target]])</f>
        <v>0.66064370412196494</v>
      </c>
      <c r="J313" s="2">
        <f>IF(CleanSalesData[[#This Row],[Units_Sold]]=0,0,CleanSalesData[[#This Row],[Corrected Revenue]]/CleanSalesData[[#This Row],[Units_Sold]])</f>
        <v>30</v>
      </c>
    </row>
    <row r="314" spans="1:10" x14ac:dyDescent="0.25">
      <c r="A314" t="s">
        <v>12</v>
      </c>
      <c r="B314" s="3">
        <v>46218</v>
      </c>
      <c r="C314" t="s">
        <v>9</v>
      </c>
      <c r="D314">
        <v>189</v>
      </c>
      <c r="E314">
        <v>5670</v>
      </c>
      <c r="F314">
        <v>8618</v>
      </c>
      <c r="G314">
        <v>5670</v>
      </c>
      <c r="H314" t="str">
        <f>IF(CleanSalesData[[#This Row],[Corrected Revenue]]&gt;CleanSalesData[[#This Row],[Target]], "Good Profit", "Low Profit"  )</f>
        <v>Low Profit</v>
      </c>
      <c r="I314" s="1">
        <f>(CleanSalesData[[#This Row],[Corrected Revenue]]/CleanSalesData[[#This Row],[Target]])</f>
        <v>0.65792527268507772</v>
      </c>
      <c r="J314" s="2">
        <f>IF(CleanSalesData[[#This Row],[Units_Sold]]=0,0,CleanSalesData[[#This Row],[Corrected Revenue]]/CleanSalesData[[#This Row],[Units_Sold]])</f>
        <v>30</v>
      </c>
    </row>
    <row r="315" spans="1:10" x14ac:dyDescent="0.25">
      <c r="A315" t="s">
        <v>12</v>
      </c>
      <c r="B315" s="3">
        <v>46218</v>
      </c>
      <c r="C315" t="s">
        <v>10</v>
      </c>
      <c r="D315">
        <v>264</v>
      </c>
      <c r="E315">
        <v>7920</v>
      </c>
      <c r="F315">
        <v>7496</v>
      </c>
      <c r="G315">
        <v>7920</v>
      </c>
      <c r="H315" t="str">
        <f>IF(CleanSalesData[[#This Row],[Corrected Revenue]]&gt;CleanSalesData[[#This Row],[Target]], "Good Profit", "Low Profit"  )</f>
        <v>Good Profit</v>
      </c>
      <c r="I315" s="1">
        <f>(CleanSalesData[[#This Row],[Corrected Revenue]]/CleanSalesData[[#This Row],[Target]])</f>
        <v>1.056563500533618</v>
      </c>
      <c r="J315" s="2">
        <f>IF(CleanSalesData[[#This Row],[Units_Sold]]=0,0,CleanSalesData[[#This Row],[Corrected Revenue]]/CleanSalesData[[#This Row],[Units_Sold]])</f>
        <v>30</v>
      </c>
    </row>
    <row r="316" spans="1:10" x14ac:dyDescent="0.25">
      <c r="A316" t="s">
        <v>12</v>
      </c>
      <c r="B316" s="3">
        <v>46219</v>
      </c>
      <c r="C316" t="s">
        <v>7</v>
      </c>
      <c r="D316">
        <v>266</v>
      </c>
      <c r="E316">
        <v>7980</v>
      </c>
      <c r="F316">
        <v>3808</v>
      </c>
      <c r="G316">
        <v>7980</v>
      </c>
      <c r="H316" t="str">
        <f>IF(CleanSalesData[[#This Row],[Corrected Revenue]]&gt;CleanSalesData[[#This Row],[Target]], "Good Profit", "Low Profit"  )</f>
        <v>Good Profit</v>
      </c>
      <c r="I316" s="1">
        <f>(CleanSalesData[[#This Row],[Corrected Revenue]]/CleanSalesData[[#This Row],[Target]])</f>
        <v>2.0955882352941178</v>
      </c>
      <c r="J316" s="2">
        <f>IF(CleanSalesData[[#This Row],[Units_Sold]]=0,0,CleanSalesData[[#This Row],[Corrected Revenue]]/CleanSalesData[[#This Row],[Units_Sold]])</f>
        <v>30</v>
      </c>
    </row>
    <row r="317" spans="1:10" x14ac:dyDescent="0.25">
      <c r="A317" t="s">
        <v>12</v>
      </c>
      <c r="B317" s="3">
        <v>46219</v>
      </c>
      <c r="C317" t="s">
        <v>8</v>
      </c>
      <c r="D317">
        <v>262</v>
      </c>
      <c r="E317">
        <v>7860</v>
      </c>
      <c r="F317">
        <v>6356</v>
      </c>
      <c r="G317">
        <v>7860</v>
      </c>
      <c r="H317" t="str">
        <f>IF(CleanSalesData[[#This Row],[Corrected Revenue]]&gt;CleanSalesData[[#This Row],[Target]], "Good Profit", "Low Profit"  )</f>
        <v>Good Profit</v>
      </c>
      <c r="I317" s="1">
        <f>(CleanSalesData[[#This Row],[Corrected Revenue]]/CleanSalesData[[#This Row],[Target]])</f>
        <v>1.236626809314034</v>
      </c>
      <c r="J317" s="2">
        <f>IF(CleanSalesData[[#This Row],[Units_Sold]]=0,0,CleanSalesData[[#This Row],[Corrected Revenue]]/CleanSalesData[[#This Row],[Units_Sold]])</f>
        <v>30</v>
      </c>
    </row>
    <row r="318" spans="1:10" x14ac:dyDescent="0.25">
      <c r="A318" t="s">
        <v>12</v>
      </c>
      <c r="B318" s="3">
        <v>46219</v>
      </c>
      <c r="C318" t="s">
        <v>9</v>
      </c>
      <c r="D318">
        <v>276</v>
      </c>
      <c r="E318">
        <v>8280</v>
      </c>
      <c r="F318">
        <v>5987</v>
      </c>
      <c r="G318">
        <v>8280</v>
      </c>
      <c r="H318" t="str">
        <f>IF(CleanSalesData[[#This Row],[Corrected Revenue]]&gt;CleanSalesData[[#This Row],[Target]], "Good Profit", "Low Profit"  )</f>
        <v>Good Profit</v>
      </c>
      <c r="I318" s="1">
        <f>(CleanSalesData[[#This Row],[Corrected Revenue]]/CleanSalesData[[#This Row],[Target]])</f>
        <v>1.3829964924002005</v>
      </c>
      <c r="J318" s="2">
        <f>IF(CleanSalesData[[#This Row],[Units_Sold]]=0,0,CleanSalesData[[#This Row],[Corrected Revenue]]/CleanSalesData[[#This Row],[Units_Sold]])</f>
        <v>30</v>
      </c>
    </row>
    <row r="319" spans="1:10" x14ac:dyDescent="0.25">
      <c r="A319" t="s">
        <v>12</v>
      </c>
      <c r="B319" s="3">
        <v>46219</v>
      </c>
      <c r="C319" t="s">
        <v>10</v>
      </c>
      <c r="D319">
        <v>211</v>
      </c>
      <c r="E319">
        <v>6330</v>
      </c>
      <c r="F319">
        <v>6628</v>
      </c>
      <c r="G319">
        <v>6330</v>
      </c>
      <c r="H319" t="str">
        <f>IF(CleanSalesData[[#This Row],[Corrected Revenue]]&gt;CleanSalesData[[#This Row],[Target]], "Good Profit", "Low Profit"  )</f>
        <v>Low Profit</v>
      </c>
      <c r="I319" s="1">
        <f>(CleanSalesData[[#This Row],[Corrected Revenue]]/CleanSalesData[[#This Row],[Target]])</f>
        <v>0.95503922751961379</v>
      </c>
      <c r="J319" s="2">
        <f>IF(CleanSalesData[[#This Row],[Units_Sold]]=0,0,CleanSalesData[[#This Row],[Corrected Revenue]]/CleanSalesData[[#This Row],[Units_Sold]])</f>
        <v>30</v>
      </c>
    </row>
    <row r="320" spans="1:10" x14ac:dyDescent="0.25">
      <c r="A320" t="s">
        <v>12</v>
      </c>
      <c r="B320" s="3">
        <v>46220</v>
      </c>
      <c r="C320" t="s">
        <v>7</v>
      </c>
      <c r="D320">
        <v>139</v>
      </c>
      <c r="E320">
        <v>4170</v>
      </c>
      <c r="F320">
        <v>5279</v>
      </c>
      <c r="G320">
        <v>4170</v>
      </c>
      <c r="H320" t="str">
        <f>IF(CleanSalesData[[#This Row],[Corrected Revenue]]&gt;CleanSalesData[[#This Row],[Target]], "Good Profit", "Low Profit"  )</f>
        <v>Low Profit</v>
      </c>
      <c r="I320" s="1">
        <f>(CleanSalesData[[#This Row],[Corrected Revenue]]/CleanSalesData[[#This Row],[Target]])</f>
        <v>0.78992233377533627</v>
      </c>
      <c r="J320" s="2">
        <f>IF(CleanSalesData[[#This Row],[Units_Sold]]=0,0,CleanSalesData[[#This Row],[Corrected Revenue]]/CleanSalesData[[#This Row],[Units_Sold]])</f>
        <v>30</v>
      </c>
    </row>
    <row r="321" spans="1:10" x14ac:dyDescent="0.25">
      <c r="A321" t="s">
        <v>12</v>
      </c>
      <c r="B321" s="3">
        <v>46220</v>
      </c>
      <c r="C321" t="s">
        <v>8</v>
      </c>
      <c r="D321">
        <v>232</v>
      </c>
      <c r="E321">
        <v>6960</v>
      </c>
      <c r="F321">
        <v>3997</v>
      </c>
      <c r="G321">
        <v>6960</v>
      </c>
      <c r="H321" t="str">
        <f>IF(CleanSalesData[[#This Row],[Corrected Revenue]]&gt;CleanSalesData[[#This Row],[Target]], "Good Profit", "Low Profit"  )</f>
        <v>Good Profit</v>
      </c>
      <c r="I321" s="1">
        <f>(CleanSalesData[[#This Row],[Corrected Revenue]]/CleanSalesData[[#This Row],[Target]])</f>
        <v>1.7413059794846135</v>
      </c>
      <c r="J321" s="2">
        <f>IF(CleanSalesData[[#This Row],[Units_Sold]]=0,0,CleanSalesData[[#This Row],[Corrected Revenue]]/CleanSalesData[[#This Row],[Units_Sold]])</f>
        <v>30</v>
      </c>
    </row>
    <row r="322" spans="1:10" x14ac:dyDescent="0.25">
      <c r="A322" t="s">
        <v>12</v>
      </c>
      <c r="B322" s="3">
        <v>46220</v>
      </c>
      <c r="C322" t="s">
        <v>9</v>
      </c>
      <c r="D322">
        <v>239</v>
      </c>
      <c r="E322">
        <v>7170</v>
      </c>
      <c r="F322">
        <v>8376</v>
      </c>
      <c r="G322">
        <v>7170</v>
      </c>
      <c r="H322" t="str">
        <f>IF(CleanSalesData[[#This Row],[Corrected Revenue]]&gt;CleanSalesData[[#This Row],[Target]], "Good Profit", "Low Profit"  )</f>
        <v>Low Profit</v>
      </c>
      <c r="I322" s="1">
        <f>(CleanSalesData[[#This Row],[Corrected Revenue]]/CleanSalesData[[#This Row],[Target]])</f>
        <v>0.85601719197707737</v>
      </c>
      <c r="J322" s="2">
        <f>IF(CleanSalesData[[#This Row],[Units_Sold]]=0,0,CleanSalesData[[#This Row],[Corrected Revenue]]/CleanSalesData[[#This Row],[Units_Sold]])</f>
        <v>30</v>
      </c>
    </row>
    <row r="323" spans="1:10" x14ac:dyDescent="0.25">
      <c r="A323" t="s">
        <v>12</v>
      </c>
      <c r="B323" s="3">
        <v>46220</v>
      </c>
      <c r="C323" t="s">
        <v>10</v>
      </c>
      <c r="D323">
        <v>233</v>
      </c>
      <c r="E323">
        <v>6990</v>
      </c>
      <c r="F323">
        <v>6641</v>
      </c>
      <c r="G323">
        <v>6990</v>
      </c>
      <c r="H323" t="str">
        <f>IF(CleanSalesData[[#This Row],[Corrected Revenue]]&gt;CleanSalesData[[#This Row],[Target]], "Good Profit", "Low Profit"  )</f>
        <v>Good Profit</v>
      </c>
      <c r="I323" s="1">
        <f>(CleanSalesData[[#This Row],[Corrected Revenue]]/CleanSalesData[[#This Row],[Target]])</f>
        <v>1.0525523264568588</v>
      </c>
      <c r="J323" s="2">
        <f>IF(CleanSalesData[[#This Row],[Units_Sold]]=0,0,CleanSalesData[[#This Row],[Corrected Revenue]]/CleanSalesData[[#This Row],[Units_Sold]])</f>
        <v>30</v>
      </c>
    </row>
    <row r="324" spans="1:10" x14ac:dyDescent="0.25">
      <c r="A324" t="s">
        <v>12</v>
      </c>
      <c r="B324" s="3">
        <v>46221</v>
      </c>
      <c r="C324" t="s">
        <v>7</v>
      </c>
      <c r="D324">
        <v>241</v>
      </c>
      <c r="E324">
        <v>7230</v>
      </c>
      <c r="F324">
        <v>4745</v>
      </c>
      <c r="G324">
        <v>7230</v>
      </c>
      <c r="H324" t="str">
        <f>IF(CleanSalesData[[#This Row],[Corrected Revenue]]&gt;CleanSalesData[[#This Row],[Target]], "Good Profit", "Low Profit"  )</f>
        <v>Good Profit</v>
      </c>
      <c r="I324" s="1">
        <f>(CleanSalesData[[#This Row],[Corrected Revenue]]/CleanSalesData[[#This Row],[Target]])</f>
        <v>1.523709167544784</v>
      </c>
      <c r="J324" s="2">
        <f>IF(CleanSalesData[[#This Row],[Units_Sold]]=0,0,CleanSalesData[[#This Row],[Corrected Revenue]]/CleanSalesData[[#This Row],[Units_Sold]])</f>
        <v>30</v>
      </c>
    </row>
    <row r="325" spans="1:10" x14ac:dyDescent="0.25">
      <c r="A325" t="s">
        <v>12</v>
      </c>
      <c r="B325" s="3">
        <v>46221</v>
      </c>
      <c r="C325" t="s">
        <v>8</v>
      </c>
      <c r="D325">
        <v>180</v>
      </c>
      <c r="E325">
        <v>5400</v>
      </c>
      <c r="F325">
        <v>5283</v>
      </c>
      <c r="G325">
        <v>5400</v>
      </c>
      <c r="H325" t="str">
        <f>IF(CleanSalesData[[#This Row],[Corrected Revenue]]&gt;CleanSalesData[[#This Row],[Target]], "Good Profit", "Low Profit"  )</f>
        <v>Good Profit</v>
      </c>
      <c r="I325" s="1">
        <f>(CleanSalesData[[#This Row],[Corrected Revenue]]/CleanSalesData[[#This Row],[Target]])</f>
        <v>1.0221465076660987</v>
      </c>
      <c r="J325" s="2">
        <f>IF(CleanSalesData[[#This Row],[Units_Sold]]=0,0,CleanSalesData[[#This Row],[Corrected Revenue]]/CleanSalesData[[#This Row],[Units_Sold]])</f>
        <v>30</v>
      </c>
    </row>
    <row r="326" spans="1:10" x14ac:dyDescent="0.25">
      <c r="A326" t="s">
        <v>12</v>
      </c>
      <c r="B326" s="3">
        <v>46221</v>
      </c>
      <c r="C326" t="s">
        <v>9</v>
      </c>
      <c r="D326">
        <v>261</v>
      </c>
      <c r="E326">
        <v>7830</v>
      </c>
      <c r="F326">
        <v>5189</v>
      </c>
      <c r="G326">
        <v>7830</v>
      </c>
      <c r="H326" t="str">
        <f>IF(CleanSalesData[[#This Row],[Corrected Revenue]]&gt;CleanSalesData[[#This Row],[Target]], "Good Profit", "Low Profit"  )</f>
        <v>Good Profit</v>
      </c>
      <c r="I326" s="1">
        <f>(CleanSalesData[[#This Row],[Corrected Revenue]]/CleanSalesData[[#This Row],[Target]])</f>
        <v>1.5089612642127577</v>
      </c>
      <c r="J326" s="2">
        <f>IF(CleanSalesData[[#This Row],[Units_Sold]]=0,0,CleanSalesData[[#This Row],[Corrected Revenue]]/CleanSalesData[[#This Row],[Units_Sold]])</f>
        <v>30</v>
      </c>
    </row>
    <row r="327" spans="1:10" x14ac:dyDescent="0.25">
      <c r="A327" t="s">
        <v>12</v>
      </c>
      <c r="B327" s="3">
        <v>46221</v>
      </c>
      <c r="C327" t="s">
        <v>10</v>
      </c>
      <c r="D327">
        <v>138</v>
      </c>
      <c r="E327">
        <v>4140</v>
      </c>
      <c r="F327">
        <v>8892</v>
      </c>
      <c r="G327">
        <v>4140</v>
      </c>
      <c r="H327" t="str">
        <f>IF(CleanSalesData[[#This Row],[Corrected Revenue]]&gt;CleanSalesData[[#This Row],[Target]], "Good Profit", "Low Profit"  )</f>
        <v>Low Profit</v>
      </c>
      <c r="I327" s="1">
        <f>(CleanSalesData[[#This Row],[Corrected Revenue]]/CleanSalesData[[#This Row],[Target]])</f>
        <v>0.46558704453441296</v>
      </c>
      <c r="J327" s="2">
        <f>IF(CleanSalesData[[#This Row],[Units_Sold]]=0,0,CleanSalesData[[#This Row],[Corrected Revenue]]/CleanSalesData[[#This Row],[Units_Sold]])</f>
        <v>30</v>
      </c>
    </row>
    <row r="328" spans="1:10" x14ac:dyDescent="0.25">
      <c r="A328" t="s">
        <v>12</v>
      </c>
      <c r="B328" s="3">
        <v>46222</v>
      </c>
      <c r="C328" t="s">
        <v>7</v>
      </c>
      <c r="D328">
        <v>208</v>
      </c>
      <c r="E328">
        <v>6240</v>
      </c>
      <c r="F328">
        <v>4742</v>
      </c>
      <c r="G328">
        <v>6240</v>
      </c>
      <c r="H328" t="str">
        <f>IF(CleanSalesData[[#This Row],[Corrected Revenue]]&gt;CleanSalesData[[#This Row],[Target]], "Good Profit", "Low Profit"  )</f>
        <v>Good Profit</v>
      </c>
      <c r="I328" s="1">
        <f>(CleanSalesData[[#This Row],[Corrected Revenue]]/CleanSalesData[[#This Row],[Target]])</f>
        <v>1.3159004639392662</v>
      </c>
      <c r="J328" s="2">
        <f>IF(CleanSalesData[[#This Row],[Units_Sold]]=0,0,CleanSalesData[[#This Row],[Corrected Revenue]]/CleanSalesData[[#This Row],[Units_Sold]])</f>
        <v>30</v>
      </c>
    </row>
    <row r="329" spans="1:10" x14ac:dyDescent="0.25">
      <c r="A329" t="s">
        <v>12</v>
      </c>
      <c r="B329" s="3">
        <v>46222</v>
      </c>
      <c r="C329" t="s">
        <v>8</v>
      </c>
      <c r="D329">
        <v>250</v>
      </c>
      <c r="E329">
        <v>7500</v>
      </c>
      <c r="F329">
        <v>4045</v>
      </c>
      <c r="G329">
        <v>7500</v>
      </c>
      <c r="H329" t="str">
        <f>IF(CleanSalesData[[#This Row],[Corrected Revenue]]&gt;CleanSalesData[[#This Row],[Target]], "Good Profit", "Low Profit"  )</f>
        <v>Good Profit</v>
      </c>
      <c r="I329" s="1">
        <f>(CleanSalesData[[#This Row],[Corrected Revenue]]/CleanSalesData[[#This Row],[Target]])</f>
        <v>1.854140914709518</v>
      </c>
      <c r="J329" s="2">
        <f>IF(CleanSalesData[[#This Row],[Units_Sold]]=0,0,CleanSalesData[[#This Row],[Corrected Revenue]]/CleanSalesData[[#This Row],[Units_Sold]])</f>
        <v>30</v>
      </c>
    </row>
    <row r="330" spans="1:10" x14ac:dyDescent="0.25">
      <c r="A330" t="s">
        <v>12</v>
      </c>
      <c r="B330" s="3">
        <v>46222</v>
      </c>
      <c r="C330" t="s">
        <v>9</v>
      </c>
      <c r="D330">
        <v>150</v>
      </c>
      <c r="E330">
        <v>4500</v>
      </c>
      <c r="F330">
        <v>5197</v>
      </c>
      <c r="G330">
        <v>4500</v>
      </c>
      <c r="H330" t="str">
        <f>IF(CleanSalesData[[#This Row],[Corrected Revenue]]&gt;CleanSalesData[[#This Row],[Target]], "Good Profit", "Low Profit"  )</f>
        <v>Low Profit</v>
      </c>
      <c r="I330" s="1">
        <f>(CleanSalesData[[#This Row],[Corrected Revenue]]/CleanSalesData[[#This Row],[Target]])</f>
        <v>0.86588416394073509</v>
      </c>
      <c r="J330" s="2">
        <f>IF(CleanSalesData[[#This Row],[Units_Sold]]=0,0,CleanSalesData[[#This Row],[Corrected Revenue]]/CleanSalesData[[#This Row],[Units_Sold]])</f>
        <v>30</v>
      </c>
    </row>
    <row r="331" spans="1:10" x14ac:dyDescent="0.25">
      <c r="A331" t="s">
        <v>12</v>
      </c>
      <c r="B331" s="3">
        <v>46222</v>
      </c>
      <c r="C331" t="s">
        <v>10</v>
      </c>
      <c r="D331">
        <v>211</v>
      </c>
      <c r="E331">
        <v>6330</v>
      </c>
      <c r="F331">
        <v>6474</v>
      </c>
      <c r="G331">
        <v>6330</v>
      </c>
      <c r="H331" t="str">
        <f>IF(CleanSalesData[[#This Row],[Corrected Revenue]]&gt;CleanSalesData[[#This Row],[Target]], "Good Profit", "Low Profit"  )</f>
        <v>Low Profit</v>
      </c>
      <c r="I331" s="1">
        <f>(CleanSalesData[[#This Row],[Corrected Revenue]]/CleanSalesData[[#This Row],[Target]])</f>
        <v>0.97775718257645972</v>
      </c>
      <c r="J331" s="2">
        <f>IF(CleanSalesData[[#This Row],[Units_Sold]]=0,0,CleanSalesData[[#This Row],[Corrected Revenue]]/CleanSalesData[[#This Row],[Units_Sold]])</f>
        <v>30</v>
      </c>
    </row>
    <row r="332" spans="1:10" x14ac:dyDescent="0.25">
      <c r="A332" t="s">
        <v>12</v>
      </c>
      <c r="B332" s="3">
        <v>46223</v>
      </c>
      <c r="C332" t="s">
        <v>7</v>
      </c>
      <c r="D332">
        <v>188</v>
      </c>
      <c r="E332">
        <v>5640</v>
      </c>
      <c r="F332">
        <v>6370</v>
      </c>
      <c r="G332">
        <v>5640</v>
      </c>
      <c r="H332" t="str">
        <f>IF(CleanSalesData[[#This Row],[Corrected Revenue]]&gt;CleanSalesData[[#This Row],[Target]], "Good Profit", "Low Profit"  )</f>
        <v>Low Profit</v>
      </c>
      <c r="I332" s="1">
        <f>(CleanSalesData[[#This Row],[Corrected Revenue]]/CleanSalesData[[#This Row],[Target]])</f>
        <v>0.88540031397174257</v>
      </c>
      <c r="J332" s="2">
        <f>IF(CleanSalesData[[#This Row],[Units_Sold]]=0,0,CleanSalesData[[#This Row],[Corrected Revenue]]/CleanSalesData[[#This Row],[Units_Sold]])</f>
        <v>30</v>
      </c>
    </row>
    <row r="333" spans="1:10" x14ac:dyDescent="0.25">
      <c r="A333" t="s">
        <v>12</v>
      </c>
      <c r="B333" s="3">
        <v>46223</v>
      </c>
      <c r="C333" t="s">
        <v>8</v>
      </c>
      <c r="D333">
        <v>161</v>
      </c>
      <c r="E333">
        <v>4830</v>
      </c>
      <c r="F333">
        <v>8243</v>
      </c>
      <c r="G333">
        <v>4830</v>
      </c>
      <c r="H333" t="str">
        <f>IF(CleanSalesData[[#This Row],[Corrected Revenue]]&gt;CleanSalesData[[#This Row],[Target]], "Good Profit", "Low Profit"  )</f>
        <v>Low Profit</v>
      </c>
      <c r="I333" s="1">
        <f>(CleanSalesData[[#This Row],[Corrected Revenue]]/CleanSalesData[[#This Row],[Target]])</f>
        <v>0.58595171660803103</v>
      </c>
      <c r="J333" s="2">
        <f>IF(CleanSalesData[[#This Row],[Units_Sold]]=0,0,CleanSalesData[[#This Row],[Corrected Revenue]]/CleanSalesData[[#This Row],[Units_Sold]])</f>
        <v>30</v>
      </c>
    </row>
    <row r="334" spans="1:10" x14ac:dyDescent="0.25">
      <c r="A334" t="s">
        <v>12</v>
      </c>
      <c r="B334" s="3">
        <v>46223</v>
      </c>
      <c r="C334" t="s">
        <v>9</v>
      </c>
      <c r="D334">
        <v>117</v>
      </c>
      <c r="E334">
        <v>3510</v>
      </c>
      <c r="F334">
        <v>4576</v>
      </c>
      <c r="G334">
        <v>3510</v>
      </c>
      <c r="H334" t="str">
        <f>IF(CleanSalesData[[#This Row],[Corrected Revenue]]&gt;CleanSalesData[[#This Row],[Target]], "Good Profit", "Low Profit"  )</f>
        <v>Low Profit</v>
      </c>
      <c r="I334" s="1">
        <f>(CleanSalesData[[#This Row],[Corrected Revenue]]/CleanSalesData[[#This Row],[Target]])</f>
        <v>0.76704545454545459</v>
      </c>
      <c r="J334" s="2">
        <f>IF(CleanSalesData[[#This Row],[Units_Sold]]=0,0,CleanSalesData[[#This Row],[Corrected Revenue]]/CleanSalesData[[#This Row],[Units_Sold]])</f>
        <v>30</v>
      </c>
    </row>
    <row r="335" spans="1:10" x14ac:dyDescent="0.25">
      <c r="A335" t="s">
        <v>12</v>
      </c>
      <c r="B335" s="3">
        <v>46223</v>
      </c>
      <c r="C335" t="s">
        <v>10</v>
      </c>
      <c r="D335">
        <v>151</v>
      </c>
      <c r="E335">
        <v>4530</v>
      </c>
      <c r="F335">
        <v>8347</v>
      </c>
      <c r="G335">
        <v>4530</v>
      </c>
      <c r="H335" t="str">
        <f>IF(CleanSalesData[[#This Row],[Corrected Revenue]]&gt;CleanSalesData[[#This Row],[Target]], "Good Profit", "Low Profit"  )</f>
        <v>Low Profit</v>
      </c>
      <c r="I335" s="1">
        <f>(CleanSalesData[[#This Row],[Corrected Revenue]]/CleanSalesData[[#This Row],[Target]])</f>
        <v>0.54270995567269675</v>
      </c>
      <c r="J335" s="2">
        <f>IF(CleanSalesData[[#This Row],[Units_Sold]]=0,0,CleanSalesData[[#This Row],[Corrected Revenue]]/CleanSalesData[[#This Row],[Units_Sold]])</f>
        <v>30</v>
      </c>
    </row>
    <row r="336" spans="1:10" x14ac:dyDescent="0.25">
      <c r="A336" t="s">
        <v>12</v>
      </c>
      <c r="B336" s="3">
        <v>46224</v>
      </c>
      <c r="C336" t="s">
        <v>7</v>
      </c>
      <c r="D336">
        <v>269</v>
      </c>
      <c r="E336">
        <v>8070</v>
      </c>
      <c r="F336">
        <v>8906</v>
      </c>
      <c r="G336">
        <v>8070</v>
      </c>
      <c r="H336" t="str">
        <f>IF(CleanSalesData[[#This Row],[Corrected Revenue]]&gt;CleanSalesData[[#This Row],[Target]], "Good Profit", "Low Profit"  )</f>
        <v>Low Profit</v>
      </c>
      <c r="I336" s="1">
        <f>(CleanSalesData[[#This Row],[Corrected Revenue]]/CleanSalesData[[#This Row],[Target]])</f>
        <v>0.90613069840556926</v>
      </c>
      <c r="J336" s="2">
        <f>IF(CleanSalesData[[#This Row],[Units_Sold]]=0,0,CleanSalesData[[#This Row],[Corrected Revenue]]/CleanSalesData[[#This Row],[Units_Sold]])</f>
        <v>30</v>
      </c>
    </row>
    <row r="337" spans="1:10" x14ac:dyDescent="0.25">
      <c r="A337" t="s">
        <v>12</v>
      </c>
      <c r="B337" s="3">
        <v>46224</v>
      </c>
      <c r="C337" t="s">
        <v>8</v>
      </c>
      <c r="D337">
        <v>253</v>
      </c>
      <c r="E337">
        <v>7590</v>
      </c>
      <c r="F337">
        <v>4454</v>
      </c>
      <c r="G337">
        <v>7590</v>
      </c>
      <c r="H337" t="str">
        <f>IF(CleanSalesData[[#This Row],[Corrected Revenue]]&gt;CleanSalesData[[#This Row],[Target]], "Good Profit", "Low Profit"  )</f>
        <v>Good Profit</v>
      </c>
      <c r="I337" s="1">
        <f>(CleanSalesData[[#This Row],[Corrected Revenue]]/CleanSalesData[[#This Row],[Target]])</f>
        <v>1.7040862146385272</v>
      </c>
      <c r="J337" s="2">
        <f>IF(CleanSalesData[[#This Row],[Units_Sold]]=0,0,CleanSalesData[[#This Row],[Corrected Revenue]]/CleanSalesData[[#This Row],[Units_Sold]])</f>
        <v>30</v>
      </c>
    </row>
    <row r="338" spans="1:10" x14ac:dyDescent="0.25">
      <c r="A338" t="s">
        <v>12</v>
      </c>
      <c r="B338" s="3">
        <v>46224</v>
      </c>
      <c r="C338" t="s">
        <v>8</v>
      </c>
      <c r="D338">
        <v>253</v>
      </c>
      <c r="E338">
        <v>7590</v>
      </c>
      <c r="F338">
        <v>4454</v>
      </c>
      <c r="G338">
        <v>7590</v>
      </c>
      <c r="H338" t="str">
        <f>IF(CleanSalesData[[#This Row],[Corrected Revenue]]&gt;CleanSalesData[[#This Row],[Target]], "Good Profit", "Low Profit"  )</f>
        <v>Good Profit</v>
      </c>
      <c r="I338" s="1">
        <f>(CleanSalesData[[#This Row],[Corrected Revenue]]/CleanSalesData[[#This Row],[Target]])</f>
        <v>1.7040862146385272</v>
      </c>
      <c r="J338" s="2">
        <f>IF(CleanSalesData[[#This Row],[Units_Sold]]=0,0,CleanSalesData[[#This Row],[Corrected Revenue]]/CleanSalesData[[#This Row],[Units_Sold]])</f>
        <v>30</v>
      </c>
    </row>
    <row r="339" spans="1:10" x14ac:dyDescent="0.25">
      <c r="A339" t="s">
        <v>12</v>
      </c>
      <c r="B339" s="3">
        <v>46224</v>
      </c>
      <c r="C339" t="s">
        <v>9</v>
      </c>
      <c r="D339">
        <v>166</v>
      </c>
      <c r="E339">
        <v>4980</v>
      </c>
      <c r="F339">
        <v>7762</v>
      </c>
      <c r="G339">
        <v>4980</v>
      </c>
      <c r="H339" t="str">
        <f>IF(CleanSalesData[[#This Row],[Corrected Revenue]]&gt;CleanSalesData[[#This Row],[Target]], "Good Profit", "Low Profit"  )</f>
        <v>Low Profit</v>
      </c>
      <c r="I339" s="1">
        <f>(CleanSalesData[[#This Row],[Corrected Revenue]]/CleanSalesData[[#This Row],[Target]])</f>
        <v>0.64158721978871425</v>
      </c>
      <c r="J339" s="2">
        <f>IF(CleanSalesData[[#This Row],[Units_Sold]]=0,0,CleanSalesData[[#This Row],[Corrected Revenue]]/CleanSalesData[[#This Row],[Units_Sold]])</f>
        <v>30</v>
      </c>
    </row>
    <row r="340" spans="1:10" x14ac:dyDescent="0.25">
      <c r="A340" t="s">
        <v>12</v>
      </c>
      <c r="B340" s="3">
        <v>46224</v>
      </c>
      <c r="C340" t="s">
        <v>10</v>
      </c>
      <c r="D340">
        <v>233</v>
      </c>
      <c r="E340">
        <v>6990</v>
      </c>
      <c r="F340">
        <v>8031</v>
      </c>
      <c r="G340">
        <v>6990</v>
      </c>
      <c r="H340" t="str">
        <f>IF(CleanSalesData[[#This Row],[Corrected Revenue]]&gt;CleanSalesData[[#This Row],[Target]], "Good Profit", "Low Profit"  )</f>
        <v>Low Profit</v>
      </c>
      <c r="I340" s="1">
        <f>(CleanSalesData[[#This Row],[Corrected Revenue]]/CleanSalesData[[#This Row],[Target]])</f>
        <v>0.8703772880089653</v>
      </c>
      <c r="J340" s="2">
        <f>IF(CleanSalesData[[#This Row],[Units_Sold]]=0,0,CleanSalesData[[#This Row],[Corrected Revenue]]/CleanSalesData[[#This Row],[Units_Sold]])</f>
        <v>30</v>
      </c>
    </row>
    <row r="341" spans="1:10" x14ac:dyDescent="0.25">
      <c r="A341" t="s">
        <v>12</v>
      </c>
      <c r="B341" s="3">
        <v>46225</v>
      </c>
      <c r="C341" t="s">
        <v>7</v>
      </c>
      <c r="D341">
        <v>93</v>
      </c>
      <c r="E341">
        <v>2790</v>
      </c>
      <c r="F341">
        <v>5083</v>
      </c>
      <c r="G341">
        <v>2790</v>
      </c>
      <c r="H341" t="str">
        <f>IF(CleanSalesData[[#This Row],[Corrected Revenue]]&gt;CleanSalesData[[#This Row],[Target]], "Good Profit", "Low Profit"  )</f>
        <v>Low Profit</v>
      </c>
      <c r="I341" s="1">
        <f>(CleanSalesData[[#This Row],[Corrected Revenue]]/CleanSalesData[[#This Row],[Target]])</f>
        <v>0.54888845170175093</v>
      </c>
      <c r="J341" s="2">
        <f>IF(CleanSalesData[[#This Row],[Units_Sold]]=0,0,CleanSalesData[[#This Row],[Corrected Revenue]]/CleanSalesData[[#This Row],[Units_Sold]])</f>
        <v>30</v>
      </c>
    </row>
    <row r="342" spans="1:10" x14ac:dyDescent="0.25">
      <c r="A342" t="s">
        <v>12</v>
      </c>
      <c r="B342" s="3">
        <v>46225</v>
      </c>
      <c r="C342" t="s">
        <v>8</v>
      </c>
      <c r="D342">
        <v>149</v>
      </c>
      <c r="E342">
        <v>4470</v>
      </c>
      <c r="F342">
        <v>4145</v>
      </c>
      <c r="G342">
        <v>4470</v>
      </c>
      <c r="H342" t="str">
        <f>IF(CleanSalesData[[#This Row],[Corrected Revenue]]&gt;CleanSalesData[[#This Row],[Target]], "Good Profit", "Low Profit"  )</f>
        <v>Good Profit</v>
      </c>
      <c r="I342" s="1">
        <f>(CleanSalesData[[#This Row],[Corrected Revenue]]/CleanSalesData[[#This Row],[Target]])</f>
        <v>1.0784077201447526</v>
      </c>
      <c r="J342" s="2">
        <f>IF(CleanSalesData[[#This Row],[Units_Sold]]=0,0,CleanSalesData[[#This Row],[Corrected Revenue]]/CleanSalesData[[#This Row],[Units_Sold]])</f>
        <v>30</v>
      </c>
    </row>
    <row r="343" spans="1:10" x14ac:dyDescent="0.25">
      <c r="A343" t="s">
        <v>12</v>
      </c>
      <c r="B343" s="3">
        <v>46225</v>
      </c>
      <c r="C343" t="s">
        <v>8</v>
      </c>
      <c r="D343">
        <v>149</v>
      </c>
      <c r="E343">
        <v>4470</v>
      </c>
      <c r="F343">
        <v>4145</v>
      </c>
      <c r="G343">
        <v>4470</v>
      </c>
      <c r="H343" t="str">
        <f>IF(CleanSalesData[[#This Row],[Corrected Revenue]]&gt;CleanSalesData[[#This Row],[Target]], "Good Profit", "Low Profit"  )</f>
        <v>Good Profit</v>
      </c>
      <c r="I343" s="1">
        <f>(CleanSalesData[[#This Row],[Corrected Revenue]]/CleanSalesData[[#This Row],[Target]])</f>
        <v>1.0784077201447526</v>
      </c>
      <c r="J343" s="2">
        <f>IF(CleanSalesData[[#This Row],[Units_Sold]]=0,0,CleanSalesData[[#This Row],[Corrected Revenue]]/CleanSalesData[[#This Row],[Units_Sold]])</f>
        <v>30</v>
      </c>
    </row>
    <row r="344" spans="1:10" x14ac:dyDescent="0.25">
      <c r="A344" t="s">
        <v>12</v>
      </c>
      <c r="B344" s="3">
        <v>46225</v>
      </c>
      <c r="C344" t="s">
        <v>9</v>
      </c>
      <c r="D344">
        <v>205</v>
      </c>
      <c r="E344">
        <v>6150</v>
      </c>
      <c r="F344">
        <v>3849</v>
      </c>
      <c r="G344">
        <v>6150</v>
      </c>
      <c r="H344" t="str">
        <f>IF(CleanSalesData[[#This Row],[Corrected Revenue]]&gt;CleanSalesData[[#This Row],[Target]], "Good Profit", "Low Profit"  )</f>
        <v>Good Profit</v>
      </c>
      <c r="I344" s="1">
        <f>(CleanSalesData[[#This Row],[Corrected Revenue]]/CleanSalesData[[#This Row],[Target]])</f>
        <v>1.5978176149649259</v>
      </c>
      <c r="J344" s="2">
        <f>IF(CleanSalesData[[#This Row],[Units_Sold]]=0,0,CleanSalesData[[#This Row],[Corrected Revenue]]/CleanSalesData[[#This Row],[Units_Sold]])</f>
        <v>30</v>
      </c>
    </row>
    <row r="345" spans="1:10" x14ac:dyDescent="0.25">
      <c r="A345" t="s">
        <v>12</v>
      </c>
      <c r="B345" s="3">
        <v>46225</v>
      </c>
      <c r="C345" t="s">
        <v>10</v>
      </c>
      <c r="D345">
        <v>272</v>
      </c>
      <c r="E345">
        <v>8160</v>
      </c>
      <c r="F345">
        <v>5178</v>
      </c>
      <c r="G345">
        <v>8160</v>
      </c>
      <c r="H345" t="str">
        <f>IF(CleanSalesData[[#This Row],[Corrected Revenue]]&gt;CleanSalesData[[#This Row],[Target]], "Good Profit", "Low Profit"  )</f>
        <v>Good Profit</v>
      </c>
      <c r="I345" s="1">
        <f>(CleanSalesData[[#This Row],[Corrected Revenue]]/CleanSalesData[[#This Row],[Target]])</f>
        <v>1.5758980301274623</v>
      </c>
      <c r="J345" s="2">
        <f>IF(CleanSalesData[[#This Row],[Units_Sold]]=0,0,CleanSalesData[[#This Row],[Corrected Revenue]]/CleanSalesData[[#This Row],[Units_Sold]])</f>
        <v>30</v>
      </c>
    </row>
    <row r="346" spans="1:10" x14ac:dyDescent="0.25">
      <c r="A346" t="s">
        <v>12</v>
      </c>
      <c r="B346" s="3">
        <v>46226</v>
      </c>
      <c r="C346" t="s">
        <v>7</v>
      </c>
      <c r="D346">
        <v>142</v>
      </c>
      <c r="E346">
        <v>4260</v>
      </c>
      <c r="F346">
        <v>8613</v>
      </c>
      <c r="G346">
        <v>4260</v>
      </c>
      <c r="H346" t="str">
        <f>IF(CleanSalesData[[#This Row],[Corrected Revenue]]&gt;CleanSalesData[[#This Row],[Target]], "Good Profit", "Low Profit"  )</f>
        <v>Low Profit</v>
      </c>
      <c r="I346" s="1">
        <f>(CleanSalesData[[#This Row],[Corrected Revenue]]/CleanSalesData[[#This Row],[Target]])</f>
        <v>0.49460118425635669</v>
      </c>
      <c r="J346" s="2">
        <f>IF(CleanSalesData[[#This Row],[Units_Sold]]=0,0,CleanSalesData[[#This Row],[Corrected Revenue]]/CleanSalesData[[#This Row],[Units_Sold]])</f>
        <v>30</v>
      </c>
    </row>
    <row r="347" spans="1:10" x14ac:dyDescent="0.25">
      <c r="A347" t="s">
        <v>12</v>
      </c>
      <c r="B347" s="3">
        <v>46226</v>
      </c>
      <c r="C347" t="s">
        <v>8</v>
      </c>
      <c r="D347">
        <v>108</v>
      </c>
      <c r="E347">
        <v>3240</v>
      </c>
      <c r="F347">
        <v>8222</v>
      </c>
      <c r="G347">
        <v>3240</v>
      </c>
      <c r="H347" t="str">
        <f>IF(CleanSalesData[[#This Row],[Corrected Revenue]]&gt;CleanSalesData[[#This Row],[Target]], "Good Profit", "Low Profit"  )</f>
        <v>Low Profit</v>
      </c>
      <c r="I347" s="1">
        <f>(CleanSalesData[[#This Row],[Corrected Revenue]]/CleanSalesData[[#This Row],[Target]])</f>
        <v>0.39406470445147168</v>
      </c>
      <c r="J347" s="2">
        <f>IF(CleanSalesData[[#This Row],[Units_Sold]]=0,0,CleanSalesData[[#This Row],[Corrected Revenue]]/CleanSalesData[[#This Row],[Units_Sold]])</f>
        <v>30</v>
      </c>
    </row>
    <row r="348" spans="1:10" x14ac:dyDescent="0.25">
      <c r="A348" t="s">
        <v>12</v>
      </c>
      <c r="B348" s="3">
        <v>46226</v>
      </c>
      <c r="C348" t="s">
        <v>9</v>
      </c>
      <c r="D348">
        <v>206</v>
      </c>
      <c r="E348">
        <v>6180</v>
      </c>
      <c r="F348">
        <v>3835</v>
      </c>
      <c r="G348">
        <v>6180</v>
      </c>
      <c r="H348" t="str">
        <f>IF(CleanSalesData[[#This Row],[Corrected Revenue]]&gt;CleanSalesData[[#This Row],[Target]], "Good Profit", "Low Profit"  )</f>
        <v>Good Profit</v>
      </c>
      <c r="I348" s="1">
        <f>(CleanSalesData[[#This Row],[Corrected Revenue]]/CleanSalesData[[#This Row],[Target]])</f>
        <v>1.6114732724902217</v>
      </c>
      <c r="J348" s="2">
        <f>IF(CleanSalesData[[#This Row],[Units_Sold]]=0,0,CleanSalesData[[#This Row],[Corrected Revenue]]/CleanSalesData[[#This Row],[Units_Sold]])</f>
        <v>30</v>
      </c>
    </row>
    <row r="349" spans="1:10" x14ac:dyDescent="0.25">
      <c r="A349" t="s">
        <v>12</v>
      </c>
      <c r="B349" s="3">
        <v>46226</v>
      </c>
      <c r="C349" t="s">
        <v>10</v>
      </c>
      <c r="D349">
        <v>128</v>
      </c>
      <c r="E349">
        <v>3840</v>
      </c>
      <c r="F349">
        <v>6157</v>
      </c>
      <c r="G349">
        <v>3840</v>
      </c>
      <c r="H349" t="str">
        <f>IF(CleanSalesData[[#This Row],[Corrected Revenue]]&gt;CleanSalesData[[#This Row],[Target]], "Good Profit", "Low Profit"  )</f>
        <v>Low Profit</v>
      </c>
      <c r="I349" s="1">
        <f>(CleanSalesData[[#This Row],[Corrected Revenue]]/CleanSalesData[[#This Row],[Target]])</f>
        <v>0.62368036381354552</v>
      </c>
      <c r="J349" s="2">
        <f>IF(CleanSalesData[[#This Row],[Units_Sold]]=0,0,CleanSalesData[[#This Row],[Corrected Revenue]]/CleanSalesData[[#This Row],[Units_Sold]])</f>
        <v>30</v>
      </c>
    </row>
    <row r="350" spans="1:10" x14ac:dyDescent="0.25">
      <c r="A350" t="s">
        <v>12</v>
      </c>
      <c r="B350" s="3">
        <v>46227</v>
      </c>
      <c r="C350" t="s">
        <v>7</v>
      </c>
      <c r="D350">
        <v>124</v>
      </c>
      <c r="E350">
        <v>3720</v>
      </c>
      <c r="F350">
        <v>4425</v>
      </c>
      <c r="G350">
        <v>3720</v>
      </c>
      <c r="H350" t="str">
        <f>IF(CleanSalesData[[#This Row],[Corrected Revenue]]&gt;CleanSalesData[[#This Row],[Target]], "Good Profit", "Low Profit"  )</f>
        <v>Low Profit</v>
      </c>
      <c r="I350" s="1">
        <f>(CleanSalesData[[#This Row],[Corrected Revenue]]/CleanSalesData[[#This Row],[Target]])</f>
        <v>0.84067796610169487</v>
      </c>
      <c r="J350" s="2">
        <f>IF(CleanSalesData[[#This Row],[Units_Sold]]=0,0,CleanSalesData[[#This Row],[Corrected Revenue]]/CleanSalesData[[#This Row],[Units_Sold]])</f>
        <v>30</v>
      </c>
    </row>
    <row r="351" spans="1:10" x14ac:dyDescent="0.25">
      <c r="A351" t="s">
        <v>12</v>
      </c>
      <c r="B351" s="3">
        <v>46227</v>
      </c>
      <c r="C351" t="s">
        <v>8</v>
      </c>
      <c r="D351">
        <v>165</v>
      </c>
      <c r="E351">
        <v>4950</v>
      </c>
      <c r="F351">
        <v>4960</v>
      </c>
      <c r="G351">
        <v>4950</v>
      </c>
      <c r="H351" t="str">
        <f>IF(CleanSalesData[[#This Row],[Corrected Revenue]]&gt;CleanSalesData[[#This Row],[Target]], "Good Profit", "Low Profit"  )</f>
        <v>Low Profit</v>
      </c>
      <c r="I351" s="1">
        <f>(CleanSalesData[[#This Row],[Corrected Revenue]]/CleanSalesData[[#This Row],[Target]])</f>
        <v>0.99798387096774188</v>
      </c>
      <c r="J351" s="2">
        <f>IF(CleanSalesData[[#This Row],[Units_Sold]]=0,0,CleanSalesData[[#This Row],[Corrected Revenue]]/CleanSalesData[[#This Row],[Units_Sold]])</f>
        <v>30</v>
      </c>
    </row>
    <row r="352" spans="1:10" x14ac:dyDescent="0.25">
      <c r="A352" t="s">
        <v>12</v>
      </c>
      <c r="B352" s="3">
        <v>46227</v>
      </c>
      <c r="C352" t="s">
        <v>9</v>
      </c>
      <c r="D352">
        <v>175</v>
      </c>
      <c r="E352">
        <v>5250</v>
      </c>
      <c r="F352">
        <v>4175</v>
      </c>
      <c r="G352">
        <v>5250</v>
      </c>
      <c r="H352" t="str">
        <f>IF(CleanSalesData[[#This Row],[Corrected Revenue]]&gt;CleanSalesData[[#This Row],[Target]], "Good Profit", "Low Profit"  )</f>
        <v>Good Profit</v>
      </c>
      <c r="I352" s="1">
        <f>(CleanSalesData[[#This Row],[Corrected Revenue]]/CleanSalesData[[#This Row],[Target]])</f>
        <v>1.2574850299401197</v>
      </c>
      <c r="J352" s="2">
        <f>IF(CleanSalesData[[#This Row],[Units_Sold]]=0,0,CleanSalesData[[#This Row],[Corrected Revenue]]/CleanSalesData[[#This Row],[Units_Sold]])</f>
        <v>30</v>
      </c>
    </row>
    <row r="353" spans="1:10" x14ac:dyDescent="0.25">
      <c r="A353" t="s">
        <v>12</v>
      </c>
      <c r="B353" s="3">
        <v>46227</v>
      </c>
      <c r="C353" t="s">
        <v>9</v>
      </c>
      <c r="D353">
        <v>175</v>
      </c>
      <c r="E353">
        <v>5250</v>
      </c>
      <c r="F353">
        <v>4175</v>
      </c>
      <c r="G353">
        <v>5250</v>
      </c>
      <c r="H353" t="str">
        <f>IF(CleanSalesData[[#This Row],[Corrected Revenue]]&gt;CleanSalesData[[#This Row],[Target]], "Good Profit", "Low Profit"  )</f>
        <v>Good Profit</v>
      </c>
      <c r="I353" s="1">
        <f>(CleanSalesData[[#This Row],[Corrected Revenue]]/CleanSalesData[[#This Row],[Target]])</f>
        <v>1.2574850299401197</v>
      </c>
      <c r="J353" s="2">
        <f>IF(CleanSalesData[[#This Row],[Units_Sold]]=0,0,CleanSalesData[[#This Row],[Corrected Revenue]]/CleanSalesData[[#This Row],[Units_Sold]])</f>
        <v>30</v>
      </c>
    </row>
    <row r="354" spans="1:10" x14ac:dyDescent="0.25">
      <c r="A354" t="s">
        <v>12</v>
      </c>
      <c r="B354" s="3">
        <v>46227</v>
      </c>
      <c r="C354" t="s">
        <v>10</v>
      </c>
      <c r="D354">
        <v>185</v>
      </c>
      <c r="E354">
        <v>5550</v>
      </c>
      <c r="F354">
        <v>6995</v>
      </c>
      <c r="G354">
        <v>5550</v>
      </c>
      <c r="H354" t="str">
        <f>IF(CleanSalesData[[#This Row],[Corrected Revenue]]&gt;CleanSalesData[[#This Row],[Target]], "Good Profit", "Low Profit"  )</f>
        <v>Low Profit</v>
      </c>
      <c r="I354" s="1">
        <f>(CleanSalesData[[#This Row],[Corrected Revenue]]/CleanSalesData[[#This Row],[Target]])</f>
        <v>0.79342387419585414</v>
      </c>
      <c r="J354" s="2">
        <f>IF(CleanSalesData[[#This Row],[Units_Sold]]=0,0,CleanSalesData[[#This Row],[Corrected Revenue]]/CleanSalesData[[#This Row],[Units_Sold]])</f>
        <v>30</v>
      </c>
    </row>
    <row r="355" spans="1:10" x14ac:dyDescent="0.25">
      <c r="A355" t="s">
        <v>12</v>
      </c>
      <c r="B355" s="3">
        <v>46228</v>
      </c>
      <c r="C355" t="s">
        <v>7</v>
      </c>
      <c r="D355">
        <v>123</v>
      </c>
      <c r="E355">
        <v>3690</v>
      </c>
      <c r="F355">
        <v>4895</v>
      </c>
      <c r="G355">
        <v>3690</v>
      </c>
      <c r="H355" t="str">
        <f>IF(CleanSalesData[[#This Row],[Corrected Revenue]]&gt;CleanSalesData[[#This Row],[Target]], "Good Profit", "Low Profit"  )</f>
        <v>Low Profit</v>
      </c>
      <c r="I355" s="1">
        <f>(CleanSalesData[[#This Row],[Corrected Revenue]]/CleanSalesData[[#This Row],[Target]])</f>
        <v>0.75383043922369763</v>
      </c>
      <c r="J355" s="2">
        <f>IF(CleanSalesData[[#This Row],[Units_Sold]]=0,0,CleanSalesData[[#This Row],[Corrected Revenue]]/CleanSalesData[[#This Row],[Units_Sold]])</f>
        <v>30</v>
      </c>
    </row>
    <row r="356" spans="1:10" x14ac:dyDescent="0.25">
      <c r="A356" t="s">
        <v>12</v>
      </c>
      <c r="B356" s="3">
        <v>46228</v>
      </c>
      <c r="C356" t="s">
        <v>8</v>
      </c>
      <c r="D356">
        <v>210</v>
      </c>
      <c r="E356">
        <v>6300</v>
      </c>
      <c r="F356">
        <v>6937</v>
      </c>
      <c r="G356">
        <v>6300</v>
      </c>
      <c r="H356" t="str">
        <f>IF(CleanSalesData[[#This Row],[Corrected Revenue]]&gt;CleanSalesData[[#This Row],[Target]], "Good Profit", "Low Profit"  )</f>
        <v>Low Profit</v>
      </c>
      <c r="I356" s="1">
        <f>(CleanSalesData[[#This Row],[Corrected Revenue]]/CleanSalesData[[#This Row],[Target]])</f>
        <v>0.90817356205852673</v>
      </c>
      <c r="J356" s="2">
        <f>IF(CleanSalesData[[#This Row],[Units_Sold]]=0,0,CleanSalesData[[#This Row],[Corrected Revenue]]/CleanSalesData[[#This Row],[Units_Sold]])</f>
        <v>30</v>
      </c>
    </row>
    <row r="357" spans="1:10" x14ac:dyDescent="0.25">
      <c r="A357" t="s">
        <v>12</v>
      </c>
      <c r="B357" s="3">
        <v>46228</v>
      </c>
      <c r="C357" t="s">
        <v>9</v>
      </c>
      <c r="D357">
        <v>170</v>
      </c>
      <c r="E357">
        <v>5100</v>
      </c>
      <c r="F357">
        <v>8072</v>
      </c>
      <c r="G357">
        <v>5100</v>
      </c>
      <c r="H357" t="str">
        <f>IF(CleanSalesData[[#This Row],[Corrected Revenue]]&gt;CleanSalesData[[#This Row],[Target]], "Good Profit", "Low Profit"  )</f>
        <v>Low Profit</v>
      </c>
      <c r="I357" s="1">
        <f>(CleanSalesData[[#This Row],[Corrected Revenue]]/CleanSalesData[[#This Row],[Target]])</f>
        <v>0.63181367690782952</v>
      </c>
      <c r="J357" s="2">
        <f>IF(CleanSalesData[[#This Row],[Units_Sold]]=0,0,CleanSalesData[[#This Row],[Corrected Revenue]]/CleanSalesData[[#This Row],[Units_Sold]])</f>
        <v>30</v>
      </c>
    </row>
    <row r="358" spans="1:10" x14ac:dyDescent="0.25">
      <c r="A358" t="s">
        <v>12</v>
      </c>
      <c r="B358" s="3">
        <v>46228</v>
      </c>
      <c r="C358" t="s">
        <v>10</v>
      </c>
      <c r="D358">
        <v>227</v>
      </c>
      <c r="E358">
        <v>6810</v>
      </c>
      <c r="F358">
        <v>8705</v>
      </c>
      <c r="G358">
        <v>6810</v>
      </c>
      <c r="H358" t="str">
        <f>IF(CleanSalesData[[#This Row],[Corrected Revenue]]&gt;CleanSalesData[[#This Row],[Target]], "Good Profit", "Low Profit"  )</f>
        <v>Low Profit</v>
      </c>
      <c r="I358" s="1">
        <f>(CleanSalesData[[#This Row],[Corrected Revenue]]/CleanSalesData[[#This Row],[Target]])</f>
        <v>0.78230901780585871</v>
      </c>
      <c r="J358" s="2">
        <f>IF(CleanSalesData[[#This Row],[Units_Sold]]=0,0,CleanSalesData[[#This Row],[Corrected Revenue]]/CleanSalesData[[#This Row],[Units_Sold]])</f>
        <v>30</v>
      </c>
    </row>
    <row r="359" spans="1:10" x14ac:dyDescent="0.25">
      <c r="A359" t="s">
        <v>12</v>
      </c>
      <c r="B359" s="3">
        <v>46229</v>
      </c>
      <c r="C359" t="s">
        <v>7</v>
      </c>
      <c r="D359">
        <v>93</v>
      </c>
      <c r="E359">
        <v>2790</v>
      </c>
      <c r="F359">
        <v>7324</v>
      </c>
      <c r="G359">
        <v>2790</v>
      </c>
      <c r="H359" t="str">
        <f>IF(CleanSalesData[[#This Row],[Corrected Revenue]]&gt;CleanSalesData[[#This Row],[Target]], "Good Profit", "Low Profit"  )</f>
        <v>Low Profit</v>
      </c>
      <c r="I359" s="1">
        <f>(CleanSalesData[[#This Row],[Corrected Revenue]]/CleanSalesData[[#This Row],[Target]])</f>
        <v>0.3809393773894047</v>
      </c>
      <c r="J359" s="2">
        <f>IF(CleanSalesData[[#This Row],[Units_Sold]]=0,0,CleanSalesData[[#This Row],[Corrected Revenue]]/CleanSalesData[[#This Row],[Units_Sold]])</f>
        <v>30</v>
      </c>
    </row>
    <row r="360" spans="1:10" x14ac:dyDescent="0.25">
      <c r="A360" t="s">
        <v>12</v>
      </c>
      <c r="B360" s="3">
        <v>46229</v>
      </c>
      <c r="C360" t="s">
        <v>8</v>
      </c>
      <c r="D360">
        <v>209</v>
      </c>
      <c r="E360">
        <v>6270</v>
      </c>
      <c r="F360">
        <v>6995</v>
      </c>
      <c r="G360">
        <v>6270</v>
      </c>
      <c r="H360" t="str">
        <f>IF(CleanSalesData[[#This Row],[Corrected Revenue]]&gt;CleanSalesData[[#This Row],[Target]], "Good Profit", "Low Profit"  )</f>
        <v>Low Profit</v>
      </c>
      <c r="I360" s="1">
        <f>(CleanSalesData[[#This Row],[Corrected Revenue]]/CleanSalesData[[#This Row],[Target]])</f>
        <v>0.89635453895639738</v>
      </c>
      <c r="J360" s="2">
        <f>IF(CleanSalesData[[#This Row],[Units_Sold]]=0,0,CleanSalesData[[#This Row],[Corrected Revenue]]/CleanSalesData[[#This Row],[Units_Sold]])</f>
        <v>30</v>
      </c>
    </row>
    <row r="361" spans="1:10" x14ac:dyDescent="0.25">
      <c r="A361" t="s">
        <v>12</v>
      </c>
      <c r="B361" s="3">
        <v>46229</v>
      </c>
      <c r="C361" t="s">
        <v>9</v>
      </c>
      <c r="D361">
        <v>232</v>
      </c>
      <c r="E361">
        <v>6960</v>
      </c>
      <c r="F361">
        <v>4966</v>
      </c>
      <c r="G361">
        <v>6960</v>
      </c>
      <c r="H361" t="str">
        <f>IF(CleanSalesData[[#This Row],[Corrected Revenue]]&gt;CleanSalesData[[#This Row],[Target]], "Good Profit", "Low Profit"  )</f>
        <v>Good Profit</v>
      </c>
      <c r="I361" s="1">
        <f>(CleanSalesData[[#This Row],[Corrected Revenue]]/CleanSalesData[[#This Row],[Target]])</f>
        <v>1.4015304067660088</v>
      </c>
      <c r="J361" s="2">
        <f>IF(CleanSalesData[[#This Row],[Units_Sold]]=0,0,CleanSalesData[[#This Row],[Corrected Revenue]]/CleanSalesData[[#This Row],[Units_Sold]])</f>
        <v>30</v>
      </c>
    </row>
    <row r="362" spans="1:10" x14ac:dyDescent="0.25">
      <c r="A362" t="s">
        <v>12</v>
      </c>
      <c r="B362" s="3">
        <v>46229</v>
      </c>
      <c r="C362" t="s">
        <v>10</v>
      </c>
      <c r="D362">
        <v>180</v>
      </c>
      <c r="E362">
        <v>5400</v>
      </c>
      <c r="F362">
        <v>6564</v>
      </c>
      <c r="G362">
        <v>5400</v>
      </c>
      <c r="H362" t="str">
        <f>IF(CleanSalesData[[#This Row],[Corrected Revenue]]&gt;CleanSalesData[[#This Row],[Target]], "Good Profit", "Low Profit"  )</f>
        <v>Low Profit</v>
      </c>
      <c r="I362" s="1">
        <f>(CleanSalesData[[#This Row],[Corrected Revenue]]/CleanSalesData[[#This Row],[Target]])</f>
        <v>0.82266910420475325</v>
      </c>
      <c r="J362" s="2">
        <f>IF(CleanSalesData[[#This Row],[Units_Sold]]=0,0,CleanSalesData[[#This Row],[Corrected Revenue]]/CleanSalesData[[#This Row],[Units_Sold]])</f>
        <v>30</v>
      </c>
    </row>
    <row r="363" spans="1:10" x14ac:dyDescent="0.25">
      <c r="A363" t="s">
        <v>12</v>
      </c>
      <c r="B363" s="3">
        <v>46230</v>
      </c>
      <c r="C363" t="s">
        <v>7</v>
      </c>
      <c r="D363">
        <v>126</v>
      </c>
      <c r="E363">
        <v>3780</v>
      </c>
      <c r="F363">
        <v>6663</v>
      </c>
      <c r="G363">
        <v>3780</v>
      </c>
      <c r="H363" t="str">
        <f>IF(CleanSalesData[[#This Row],[Corrected Revenue]]&gt;CleanSalesData[[#This Row],[Target]], "Good Profit", "Low Profit"  )</f>
        <v>Low Profit</v>
      </c>
      <c r="I363" s="1">
        <f>(CleanSalesData[[#This Row],[Corrected Revenue]]/CleanSalesData[[#This Row],[Target]])</f>
        <v>0.56731202161188654</v>
      </c>
      <c r="J363" s="2">
        <f>IF(CleanSalesData[[#This Row],[Units_Sold]]=0,0,CleanSalesData[[#This Row],[Corrected Revenue]]/CleanSalesData[[#This Row],[Units_Sold]])</f>
        <v>30</v>
      </c>
    </row>
    <row r="364" spans="1:10" x14ac:dyDescent="0.25">
      <c r="A364" t="s">
        <v>12</v>
      </c>
      <c r="B364" s="3">
        <v>46230</v>
      </c>
      <c r="C364" t="s">
        <v>8</v>
      </c>
      <c r="D364">
        <v>237</v>
      </c>
      <c r="E364">
        <v>7110</v>
      </c>
      <c r="F364">
        <v>4630</v>
      </c>
      <c r="G364">
        <v>7110</v>
      </c>
      <c r="H364" t="str">
        <f>IF(CleanSalesData[[#This Row],[Corrected Revenue]]&gt;CleanSalesData[[#This Row],[Target]], "Good Profit", "Low Profit"  )</f>
        <v>Good Profit</v>
      </c>
      <c r="I364" s="1">
        <f>(CleanSalesData[[#This Row],[Corrected Revenue]]/CleanSalesData[[#This Row],[Target]])</f>
        <v>1.5356371490280778</v>
      </c>
      <c r="J364" s="2">
        <f>IF(CleanSalesData[[#This Row],[Units_Sold]]=0,0,CleanSalesData[[#This Row],[Corrected Revenue]]/CleanSalesData[[#This Row],[Units_Sold]])</f>
        <v>30</v>
      </c>
    </row>
    <row r="365" spans="1:10" x14ac:dyDescent="0.25">
      <c r="A365" t="s">
        <v>12</v>
      </c>
      <c r="B365" s="3">
        <v>46230</v>
      </c>
      <c r="C365" t="s">
        <v>8</v>
      </c>
      <c r="D365">
        <v>237</v>
      </c>
      <c r="E365">
        <v>7110</v>
      </c>
      <c r="F365">
        <v>4630</v>
      </c>
      <c r="G365">
        <v>7110</v>
      </c>
      <c r="H365" t="str">
        <f>IF(CleanSalesData[[#This Row],[Corrected Revenue]]&gt;CleanSalesData[[#This Row],[Target]], "Good Profit", "Low Profit"  )</f>
        <v>Good Profit</v>
      </c>
      <c r="I365" s="1">
        <f>(CleanSalesData[[#This Row],[Corrected Revenue]]/CleanSalesData[[#This Row],[Target]])</f>
        <v>1.5356371490280778</v>
      </c>
      <c r="J365" s="2">
        <f>IF(CleanSalesData[[#This Row],[Units_Sold]]=0,0,CleanSalesData[[#This Row],[Corrected Revenue]]/CleanSalesData[[#This Row],[Units_Sold]])</f>
        <v>30</v>
      </c>
    </row>
    <row r="366" spans="1:10" x14ac:dyDescent="0.25">
      <c r="A366" t="s">
        <v>12</v>
      </c>
      <c r="B366" s="3">
        <v>46230</v>
      </c>
      <c r="C366" t="s">
        <v>9</v>
      </c>
      <c r="D366">
        <v>191</v>
      </c>
      <c r="E366">
        <v>5730</v>
      </c>
      <c r="F366">
        <v>8746</v>
      </c>
      <c r="G366">
        <v>5730</v>
      </c>
      <c r="H366" t="str">
        <f>IF(CleanSalesData[[#This Row],[Corrected Revenue]]&gt;CleanSalesData[[#This Row],[Target]], "Good Profit", "Low Profit"  )</f>
        <v>Low Profit</v>
      </c>
      <c r="I366" s="1">
        <f>(CleanSalesData[[#This Row],[Corrected Revenue]]/CleanSalesData[[#This Row],[Target]])</f>
        <v>0.65515664303681687</v>
      </c>
      <c r="J366" s="2">
        <f>IF(CleanSalesData[[#This Row],[Units_Sold]]=0,0,CleanSalesData[[#This Row],[Corrected Revenue]]/CleanSalesData[[#This Row],[Units_Sold]])</f>
        <v>30</v>
      </c>
    </row>
    <row r="367" spans="1:10" x14ac:dyDescent="0.25">
      <c r="A367" t="s">
        <v>12</v>
      </c>
      <c r="B367" s="3">
        <v>46230</v>
      </c>
      <c r="C367" t="s">
        <v>10</v>
      </c>
      <c r="D367">
        <v>138</v>
      </c>
      <c r="E367">
        <v>4140</v>
      </c>
      <c r="F367">
        <v>6354</v>
      </c>
      <c r="G367">
        <v>4140</v>
      </c>
      <c r="H367" t="str">
        <f>IF(CleanSalesData[[#This Row],[Corrected Revenue]]&gt;CleanSalesData[[#This Row],[Target]], "Good Profit", "Low Profit"  )</f>
        <v>Low Profit</v>
      </c>
      <c r="I367" s="1">
        <f>(CleanSalesData[[#This Row],[Corrected Revenue]]/CleanSalesData[[#This Row],[Target]])</f>
        <v>0.65155807365439089</v>
      </c>
      <c r="J367" s="2">
        <f>IF(CleanSalesData[[#This Row],[Units_Sold]]=0,0,CleanSalesData[[#This Row],[Corrected Revenue]]/CleanSalesData[[#This Row],[Units_Sold]])</f>
        <v>30</v>
      </c>
    </row>
    <row r="368" spans="1:10" x14ac:dyDescent="0.25">
      <c r="A368" t="s">
        <v>12</v>
      </c>
      <c r="B368" s="3">
        <v>46231</v>
      </c>
      <c r="C368" t="s">
        <v>7</v>
      </c>
      <c r="D368">
        <v>253</v>
      </c>
      <c r="E368">
        <v>7590</v>
      </c>
      <c r="F368">
        <v>8678</v>
      </c>
      <c r="G368">
        <v>7590</v>
      </c>
      <c r="H368" t="str">
        <f>IF(CleanSalesData[[#This Row],[Corrected Revenue]]&gt;CleanSalesData[[#This Row],[Target]], "Good Profit", "Low Profit"  )</f>
        <v>Low Profit</v>
      </c>
      <c r="I368" s="1">
        <f>(CleanSalesData[[#This Row],[Corrected Revenue]]/CleanSalesData[[#This Row],[Target]])</f>
        <v>0.87462548974418064</v>
      </c>
      <c r="J368" s="2">
        <f>IF(CleanSalesData[[#This Row],[Units_Sold]]=0,0,CleanSalesData[[#This Row],[Corrected Revenue]]/CleanSalesData[[#This Row],[Units_Sold]])</f>
        <v>30</v>
      </c>
    </row>
    <row r="369" spans="1:10" x14ac:dyDescent="0.25">
      <c r="A369" t="s">
        <v>12</v>
      </c>
      <c r="B369" s="3">
        <v>46231</v>
      </c>
      <c r="C369" t="s">
        <v>8</v>
      </c>
      <c r="D369">
        <v>187</v>
      </c>
      <c r="E369">
        <v>5610</v>
      </c>
      <c r="F369">
        <v>6140</v>
      </c>
      <c r="G369">
        <v>5610</v>
      </c>
      <c r="H369" t="str">
        <f>IF(CleanSalesData[[#This Row],[Corrected Revenue]]&gt;CleanSalesData[[#This Row],[Target]], "Good Profit", "Low Profit"  )</f>
        <v>Low Profit</v>
      </c>
      <c r="I369" s="1">
        <f>(CleanSalesData[[#This Row],[Corrected Revenue]]/CleanSalesData[[#This Row],[Target]])</f>
        <v>0.91368078175895762</v>
      </c>
      <c r="J369" s="2">
        <f>IF(CleanSalesData[[#This Row],[Units_Sold]]=0,0,CleanSalesData[[#This Row],[Corrected Revenue]]/CleanSalesData[[#This Row],[Units_Sold]])</f>
        <v>30</v>
      </c>
    </row>
    <row r="370" spans="1:10" x14ac:dyDescent="0.25">
      <c r="A370" t="s">
        <v>12</v>
      </c>
      <c r="B370" s="3">
        <v>46231</v>
      </c>
      <c r="C370" t="s">
        <v>9</v>
      </c>
      <c r="D370">
        <v>150</v>
      </c>
      <c r="E370">
        <v>4500</v>
      </c>
      <c r="F370">
        <v>5899</v>
      </c>
      <c r="G370">
        <v>4500</v>
      </c>
      <c r="H370" t="str">
        <f>IF(CleanSalesData[[#This Row],[Corrected Revenue]]&gt;CleanSalesData[[#This Row],[Target]], "Good Profit", "Low Profit"  )</f>
        <v>Low Profit</v>
      </c>
      <c r="I370" s="1">
        <f>(CleanSalesData[[#This Row],[Corrected Revenue]]/CleanSalesData[[#This Row],[Target]])</f>
        <v>0.76284115951856246</v>
      </c>
      <c r="J370" s="2">
        <f>IF(CleanSalesData[[#This Row],[Units_Sold]]=0,0,CleanSalesData[[#This Row],[Corrected Revenue]]/CleanSalesData[[#This Row],[Units_Sold]])</f>
        <v>30</v>
      </c>
    </row>
    <row r="371" spans="1:10" x14ac:dyDescent="0.25">
      <c r="A371" t="s">
        <v>12</v>
      </c>
      <c r="B371" s="3">
        <v>46231</v>
      </c>
      <c r="C371" t="s">
        <v>10</v>
      </c>
      <c r="D371">
        <v>224</v>
      </c>
      <c r="E371">
        <v>6720</v>
      </c>
      <c r="F371">
        <v>4285</v>
      </c>
      <c r="G371">
        <v>6720</v>
      </c>
      <c r="H371" t="str">
        <f>IF(CleanSalesData[[#This Row],[Corrected Revenue]]&gt;CleanSalesData[[#This Row],[Target]], "Good Profit", "Low Profit"  )</f>
        <v>Good Profit</v>
      </c>
      <c r="I371" s="1">
        <f>(CleanSalesData[[#This Row],[Corrected Revenue]]/CleanSalesData[[#This Row],[Target]])</f>
        <v>1.5682613768961493</v>
      </c>
      <c r="J371" s="2">
        <f>IF(CleanSalesData[[#This Row],[Units_Sold]]=0,0,CleanSalesData[[#This Row],[Corrected Revenue]]/CleanSalesData[[#This Row],[Units_Sold]])</f>
        <v>30</v>
      </c>
    </row>
    <row r="372" spans="1:10" x14ac:dyDescent="0.25">
      <c r="A372" t="s">
        <v>12</v>
      </c>
      <c r="B372" s="3">
        <v>46232</v>
      </c>
      <c r="C372" t="s">
        <v>7</v>
      </c>
      <c r="D372">
        <v>151</v>
      </c>
      <c r="E372">
        <v>4530</v>
      </c>
      <c r="F372">
        <v>7044</v>
      </c>
      <c r="G372">
        <v>4530</v>
      </c>
      <c r="H372" t="str">
        <f>IF(CleanSalesData[[#This Row],[Corrected Revenue]]&gt;CleanSalesData[[#This Row],[Target]], "Good Profit", "Low Profit"  )</f>
        <v>Low Profit</v>
      </c>
      <c r="I372" s="1">
        <f>(CleanSalesData[[#This Row],[Corrected Revenue]]/CleanSalesData[[#This Row],[Target]])</f>
        <v>0.64310051107325383</v>
      </c>
      <c r="J372" s="2">
        <f>IF(CleanSalesData[[#This Row],[Units_Sold]]=0,0,CleanSalesData[[#This Row],[Corrected Revenue]]/CleanSalesData[[#This Row],[Units_Sold]])</f>
        <v>30</v>
      </c>
    </row>
    <row r="373" spans="1:10" x14ac:dyDescent="0.25">
      <c r="A373" t="s">
        <v>12</v>
      </c>
      <c r="B373" s="3">
        <v>46232</v>
      </c>
      <c r="C373" t="s">
        <v>8</v>
      </c>
      <c r="D373">
        <v>189</v>
      </c>
      <c r="E373">
        <v>5670</v>
      </c>
      <c r="F373">
        <v>8959</v>
      </c>
      <c r="G373">
        <v>5670</v>
      </c>
      <c r="H373" t="str">
        <f>IF(CleanSalesData[[#This Row],[Corrected Revenue]]&gt;CleanSalesData[[#This Row],[Target]], "Good Profit", "Low Profit"  )</f>
        <v>Low Profit</v>
      </c>
      <c r="I373" s="1">
        <f>(CleanSalesData[[#This Row],[Corrected Revenue]]/CleanSalesData[[#This Row],[Target]])</f>
        <v>0.63288313427837928</v>
      </c>
      <c r="J373" s="2">
        <f>IF(CleanSalesData[[#This Row],[Units_Sold]]=0,0,CleanSalesData[[#This Row],[Corrected Revenue]]/CleanSalesData[[#This Row],[Units_Sold]])</f>
        <v>30</v>
      </c>
    </row>
    <row r="374" spans="1:10" x14ac:dyDescent="0.25">
      <c r="A374" t="s">
        <v>12</v>
      </c>
      <c r="B374" s="3">
        <v>46232</v>
      </c>
      <c r="C374" t="s">
        <v>9</v>
      </c>
      <c r="D374">
        <v>191</v>
      </c>
      <c r="E374">
        <v>5730</v>
      </c>
      <c r="F374">
        <v>6035</v>
      </c>
      <c r="G374">
        <v>5730</v>
      </c>
      <c r="H374" t="str">
        <f>IF(CleanSalesData[[#This Row],[Corrected Revenue]]&gt;CleanSalesData[[#This Row],[Target]], "Good Profit", "Low Profit"  )</f>
        <v>Low Profit</v>
      </c>
      <c r="I374" s="1">
        <f>(CleanSalesData[[#This Row],[Corrected Revenue]]/CleanSalesData[[#This Row],[Target]])</f>
        <v>0.94946147473073739</v>
      </c>
      <c r="J374" s="2">
        <f>IF(CleanSalesData[[#This Row],[Units_Sold]]=0,0,CleanSalesData[[#This Row],[Corrected Revenue]]/CleanSalesData[[#This Row],[Units_Sold]])</f>
        <v>30</v>
      </c>
    </row>
    <row r="375" spans="1:10" x14ac:dyDescent="0.25">
      <c r="A375" t="s">
        <v>12</v>
      </c>
      <c r="B375" s="3">
        <v>46232</v>
      </c>
      <c r="C375" t="s">
        <v>10</v>
      </c>
      <c r="D375">
        <v>98</v>
      </c>
      <c r="E375">
        <v>2940</v>
      </c>
      <c r="F375">
        <v>5681</v>
      </c>
      <c r="G375">
        <v>2940</v>
      </c>
      <c r="H375" t="str">
        <f>IF(CleanSalesData[[#This Row],[Corrected Revenue]]&gt;CleanSalesData[[#This Row],[Target]], "Good Profit", "Low Profit"  )</f>
        <v>Low Profit</v>
      </c>
      <c r="I375" s="1">
        <f>(CleanSalesData[[#This Row],[Corrected Revenue]]/CleanSalesData[[#This Row],[Target]])</f>
        <v>0.5175145220911811</v>
      </c>
      <c r="J375" s="2">
        <f>IF(CleanSalesData[[#This Row],[Units_Sold]]=0,0,CleanSalesData[[#This Row],[Corrected Revenue]]/CleanSalesData[[#This Row],[Units_Sold]])</f>
        <v>30</v>
      </c>
    </row>
    <row r="376" spans="1:10" x14ac:dyDescent="0.25">
      <c r="A376" t="s">
        <v>12</v>
      </c>
      <c r="B376" s="3">
        <v>46233</v>
      </c>
      <c r="C376" t="s">
        <v>7</v>
      </c>
      <c r="D376">
        <v>203</v>
      </c>
      <c r="E376">
        <v>6090</v>
      </c>
      <c r="F376">
        <v>7506</v>
      </c>
      <c r="G376">
        <v>6090</v>
      </c>
      <c r="H376" t="str">
        <f>IF(CleanSalesData[[#This Row],[Corrected Revenue]]&gt;CleanSalesData[[#This Row],[Target]], "Good Profit", "Low Profit"  )</f>
        <v>Low Profit</v>
      </c>
      <c r="I376" s="1">
        <f>(CleanSalesData[[#This Row],[Corrected Revenue]]/CleanSalesData[[#This Row],[Target]])</f>
        <v>0.81135091926458835</v>
      </c>
      <c r="J376" s="2">
        <f>IF(CleanSalesData[[#This Row],[Units_Sold]]=0,0,CleanSalesData[[#This Row],[Corrected Revenue]]/CleanSalesData[[#This Row],[Units_Sold]])</f>
        <v>30</v>
      </c>
    </row>
    <row r="377" spans="1:10" x14ac:dyDescent="0.25">
      <c r="A377" t="s">
        <v>12</v>
      </c>
      <c r="B377" s="3">
        <v>46233</v>
      </c>
      <c r="C377" t="s">
        <v>8</v>
      </c>
      <c r="D377">
        <v>134</v>
      </c>
      <c r="E377">
        <v>4020</v>
      </c>
      <c r="F377">
        <v>6988</v>
      </c>
      <c r="G377">
        <v>4020</v>
      </c>
      <c r="H377" t="str">
        <f>IF(CleanSalesData[[#This Row],[Corrected Revenue]]&gt;CleanSalesData[[#This Row],[Target]], "Good Profit", "Low Profit"  )</f>
        <v>Low Profit</v>
      </c>
      <c r="I377" s="1">
        <f>(CleanSalesData[[#This Row],[Corrected Revenue]]/CleanSalesData[[#This Row],[Target]])</f>
        <v>0.57527189467658846</v>
      </c>
      <c r="J377" s="2">
        <f>IF(CleanSalesData[[#This Row],[Units_Sold]]=0,0,CleanSalesData[[#This Row],[Corrected Revenue]]/CleanSalesData[[#This Row],[Units_Sold]])</f>
        <v>30</v>
      </c>
    </row>
    <row r="378" spans="1:10" x14ac:dyDescent="0.25">
      <c r="A378" t="s">
        <v>12</v>
      </c>
      <c r="B378" s="3">
        <v>46233</v>
      </c>
      <c r="C378" t="s">
        <v>9</v>
      </c>
      <c r="D378">
        <v>142</v>
      </c>
      <c r="E378">
        <v>4260</v>
      </c>
      <c r="F378">
        <v>5568</v>
      </c>
      <c r="G378">
        <v>4260</v>
      </c>
      <c r="H378" t="str">
        <f>IF(CleanSalesData[[#This Row],[Corrected Revenue]]&gt;CleanSalesData[[#This Row],[Target]], "Good Profit", "Low Profit"  )</f>
        <v>Low Profit</v>
      </c>
      <c r="I378" s="1">
        <f>(CleanSalesData[[#This Row],[Corrected Revenue]]/CleanSalesData[[#This Row],[Target]])</f>
        <v>0.76508620689655171</v>
      </c>
      <c r="J378" s="2">
        <f>IF(CleanSalesData[[#This Row],[Units_Sold]]=0,0,CleanSalesData[[#This Row],[Corrected Revenue]]/CleanSalesData[[#This Row],[Units_Sold]])</f>
        <v>30</v>
      </c>
    </row>
    <row r="379" spans="1:10" x14ac:dyDescent="0.25">
      <c r="A379" t="s">
        <v>12</v>
      </c>
      <c r="B379" s="3">
        <v>46233</v>
      </c>
      <c r="C379" t="s">
        <v>9</v>
      </c>
      <c r="D379">
        <v>142</v>
      </c>
      <c r="E379">
        <v>4260</v>
      </c>
      <c r="F379">
        <v>5568</v>
      </c>
      <c r="G379">
        <v>4260</v>
      </c>
      <c r="H379" t="str">
        <f>IF(CleanSalesData[[#This Row],[Corrected Revenue]]&gt;CleanSalesData[[#This Row],[Target]], "Good Profit", "Low Profit"  )</f>
        <v>Low Profit</v>
      </c>
      <c r="I379" s="1">
        <f>(CleanSalesData[[#This Row],[Corrected Revenue]]/CleanSalesData[[#This Row],[Target]])</f>
        <v>0.76508620689655171</v>
      </c>
      <c r="J379" s="2">
        <f>IF(CleanSalesData[[#This Row],[Units_Sold]]=0,0,CleanSalesData[[#This Row],[Corrected Revenue]]/CleanSalesData[[#This Row],[Units_Sold]])</f>
        <v>30</v>
      </c>
    </row>
    <row r="380" spans="1:10" x14ac:dyDescent="0.25">
      <c r="A380" t="s">
        <v>12</v>
      </c>
      <c r="B380" s="3">
        <v>46233</v>
      </c>
      <c r="C380" t="s">
        <v>10</v>
      </c>
      <c r="D380">
        <v>186</v>
      </c>
      <c r="E380">
        <v>5580</v>
      </c>
      <c r="F380">
        <v>7540</v>
      </c>
      <c r="G380">
        <v>5580</v>
      </c>
      <c r="H380" t="str">
        <f>IF(CleanSalesData[[#This Row],[Corrected Revenue]]&gt;CleanSalesData[[#This Row],[Target]], "Good Profit", "Low Profit"  )</f>
        <v>Low Profit</v>
      </c>
      <c r="I380" s="1">
        <f>(CleanSalesData[[#This Row],[Corrected Revenue]]/CleanSalesData[[#This Row],[Target]])</f>
        <v>0.74005305039787794</v>
      </c>
      <c r="J380" s="2">
        <f>IF(CleanSalesData[[#This Row],[Units_Sold]]=0,0,CleanSalesData[[#This Row],[Corrected Revenue]]/CleanSalesData[[#This Row],[Units_Sold]])</f>
        <v>30</v>
      </c>
    </row>
    <row r="381" spans="1:10" x14ac:dyDescent="0.25">
      <c r="A381" t="s">
        <v>12</v>
      </c>
      <c r="B381" s="3">
        <v>46234</v>
      </c>
      <c r="C381" t="s">
        <v>7</v>
      </c>
      <c r="D381">
        <v>246</v>
      </c>
      <c r="E381">
        <v>7380</v>
      </c>
      <c r="F381">
        <v>4386</v>
      </c>
      <c r="G381">
        <v>7380</v>
      </c>
      <c r="H381" t="str">
        <f>IF(CleanSalesData[[#This Row],[Corrected Revenue]]&gt;CleanSalesData[[#This Row],[Target]], "Good Profit", "Low Profit"  )</f>
        <v>Good Profit</v>
      </c>
      <c r="I381" s="1">
        <f>(CleanSalesData[[#This Row],[Corrected Revenue]]/CleanSalesData[[#This Row],[Target]])</f>
        <v>1.682626538987688</v>
      </c>
      <c r="J381" s="2">
        <f>IF(CleanSalesData[[#This Row],[Units_Sold]]=0,0,CleanSalesData[[#This Row],[Corrected Revenue]]/CleanSalesData[[#This Row],[Units_Sold]])</f>
        <v>30</v>
      </c>
    </row>
    <row r="382" spans="1:10" x14ac:dyDescent="0.25">
      <c r="A382" t="s">
        <v>12</v>
      </c>
      <c r="B382" s="3">
        <v>46234</v>
      </c>
      <c r="C382" t="s">
        <v>8</v>
      </c>
      <c r="D382">
        <v>203</v>
      </c>
      <c r="E382">
        <v>6090</v>
      </c>
      <c r="F382">
        <v>8160</v>
      </c>
      <c r="G382">
        <v>6090</v>
      </c>
      <c r="H382" t="str">
        <f>IF(CleanSalesData[[#This Row],[Corrected Revenue]]&gt;CleanSalesData[[#This Row],[Target]], "Good Profit", "Low Profit"  )</f>
        <v>Low Profit</v>
      </c>
      <c r="I382" s="1">
        <f>(CleanSalesData[[#This Row],[Corrected Revenue]]/CleanSalesData[[#This Row],[Target]])</f>
        <v>0.74632352941176472</v>
      </c>
      <c r="J382" s="2">
        <f>IF(CleanSalesData[[#This Row],[Units_Sold]]=0,0,CleanSalesData[[#This Row],[Corrected Revenue]]/CleanSalesData[[#This Row],[Units_Sold]])</f>
        <v>30</v>
      </c>
    </row>
    <row r="383" spans="1:10" x14ac:dyDescent="0.25">
      <c r="A383" t="s">
        <v>12</v>
      </c>
      <c r="B383" s="3">
        <v>46234</v>
      </c>
      <c r="C383" t="s">
        <v>9</v>
      </c>
      <c r="D383">
        <v>113</v>
      </c>
      <c r="E383">
        <v>3390</v>
      </c>
      <c r="F383">
        <v>6050</v>
      </c>
      <c r="G383">
        <v>3390</v>
      </c>
      <c r="H383" t="str">
        <f>IF(CleanSalesData[[#This Row],[Corrected Revenue]]&gt;CleanSalesData[[#This Row],[Target]], "Good Profit", "Low Profit"  )</f>
        <v>Low Profit</v>
      </c>
      <c r="I383" s="1">
        <f>(CleanSalesData[[#This Row],[Corrected Revenue]]/CleanSalesData[[#This Row],[Target]])</f>
        <v>0.56033057851239665</v>
      </c>
      <c r="J383" s="2">
        <f>IF(CleanSalesData[[#This Row],[Units_Sold]]=0,0,CleanSalesData[[#This Row],[Corrected Revenue]]/CleanSalesData[[#This Row],[Units_Sold]])</f>
        <v>30</v>
      </c>
    </row>
    <row r="384" spans="1:10" x14ac:dyDescent="0.25">
      <c r="A384" t="s">
        <v>12</v>
      </c>
      <c r="B384" s="3">
        <v>46234</v>
      </c>
      <c r="C384" t="s">
        <v>10</v>
      </c>
      <c r="D384">
        <v>205</v>
      </c>
      <c r="E384">
        <v>6150</v>
      </c>
      <c r="F384">
        <v>6112</v>
      </c>
      <c r="G384">
        <v>6150</v>
      </c>
      <c r="H384" t="str">
        <f>IF(CleanSalesData[[#This Row],[Corrected Revenue]]&gt;CleanSalesData[[#This Row],[Target]], "Good Profit", "Low Profit"  )</f>
        <v>Good Profit</v>
      </c>
      <c r="I384" s="1">
        <f>(CleanSalesData[[#This Row],[Corrected Revenue]]/CleanSalesData[[#This Row],[Target]])</f>
        <v>1.0062172774869109</v>
      </c>
      <c r="J384" s="2">
        <f>IF(CleanSalesData[[#This Row],[Units_Sold]]=0,0,CleanSalesData[[#This Row],[Corrected Revenue]]/CleanSalesData[[#This Row],[Units_Sold]])</f>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D2E0-18CC-4ECA-866F-4D03962D8697}">
  <dimension ref="B3:I21"/>
  <sheetViews>
    <sheetView zoomScale="113" workbookViewId="0">
      <selection activeCell="E32" sqref="E32"/>
    </sheetView>
  </sheetViews>
  <sheetFormatPr defaultRowHeight="15" x14ac:dyDescent="0.25"/>
  <cols>
    <col min="1" max="1" width="9.42578125" customWidth="1"/>
    <col min="2" max="3" width="13.42578125" bestFit="1" customWidth="1"/>
    <col min="4" max="4" width="15.85546875" style="1" bestFit="1" customWidth="1"/>
    <col min="5" max="5" width="24.5703125" bestFit="1" customWidth="1"/>
    <col min="6" max="6" width="9.42578125" customWidth="1"/>
    <col min="7" max="7" width="15.85546875" bestFit="1" customWidth="1"/>
    <col min="8" max="8" width="17.5703125" bestFit="1" customWidth="1"/>
    <col min="9" max="9" width="15.85546875" bestFit="1" customWidth="1"/>
    <col min="10" max="13" width="9.42578125" customWidth="1"/>
    <col min="67" max="72" width="9.140625" customWidth="1"/>
  </cols>
  <sheetData>
    <row r="3" spans="2:9" x14ac:dyDescent="0.25">
      <c r="D3"/>
    </row>
    <row r="4" spans="2:9" x14ac:dyDescent="0.25">
      <c r="B4" s="4" t="s">
        <v>17</v>
      </c>
      <c r="C4" t="s">
        <v>19</v>
      </c>
      <c r="D4" t="s">
        <v>23</v>
      </c>
      <c r="E4" t="s">
        <v>20</v>
      </c>
      <c r="G4" s="4" t="s">
        <v>17</v>
      </c>
      <c r="H4" t="s">
        <v>13</v>
      </c>
      <c r="I4" t="s">
        <v>23</v>
      </c>
    </row>
    <row r="5" spans="2:9" x14ac:dyDescent="0.25">
      <c r="B5" s="5" t="s">
        <v>9</v>
      </c>
      <c r="C5" s="7">
        <v>356366</v>
      </c>
      <c r="D5" s="7">
        <v>247260</v>
      </c>
      <c r="E5" s="7">
        <v>39.373578989575215</v>
      </c>
      <c r="G5" s="5" t="s">
        <v>24</v>
      </c>
      <c r="H5" s="7">
        <v>1518</v>
      </c>
      <c r="I5" s="7">
        <v>45540</v>
      </c>
    </row>
    <row r="6" spans="2:9" x14ac:dyDescent="0.25">
      <c r="B6" s="5" t="s">
        <v>18</v>
      </c>
      <c r="C6" s="7">
        <v>356366</v>
      </c>
      <c r="D6" s="7">
        <v>247260</v>
      </c>
      <c r="E6" s="7">
        <v>39.373578989575215</v>
      </c>
      <c r="G6" s="5" t="s">
        <v>25</v>
      </c>
      <c r="H6" s="7">
        <v>2963</v>
      </c>
      <c r="I6" s="7">
        <v>97890</v>
      </c>
    </row>
    <row r="7" spans="2:9" x14ac:dyDescent="0.25">
      <c r="D7"/>
      <c r="G7" s="5" t="s">
        <v>26</v>
      </c>
      <c r="H7" s="7">
        <v>3461</v>
      </c>
      <c r="I7" s="7">
        <v>103830</v>
      </c>
    </row>
    <row r="8" spans="2:9" x14ac:dyDescent="0.25">
      <c r="D8"/>
      <c r="G8" s="5" t="s">
        <v>18</v>
      </c>
      <c r="H8" s="7">
        <v>7942</v>
      </c>
      <c r="I8" s="7">
        <v>247260</v>
      </c>
    </row>
    <row r="9" spans="2:9" x14ac:dyDescent="0.25">
      <c r="D9"/>
    </row>
    <row r="10" spans="2:9" x14ac:dyDescent="0.25">
      <c r="D10"/>
    </row>
    <row r="11" spans="2:9" x14ac:dyDescent="0.25">
      <c r="D11"/>
    </row>
    <row r="12" spans="2:9" x14ac:dyDescent="0.25">
      <c r="D12"/>
    </row>
    <row r="13" spans="2:9" x14ac:dyDescent="0.25">
      <c r="D13"/>
    </row>
    <row r="14" spans="2:9" x14ac:dyDescent="0.25">
      <c r="D14"/>
    </row>
    <row r="15" spans="2:9" x14ac:dyDescent="0.25">
      <c r="D15"/>
    </row>
    <row r="16" spans="2:9" x14ac:dyDescent="0.25">
      <c r="D16"/>
    </row>
    <row r="17" spans="4:4" x14ac:dyDescent="0.25">
      <c r="D17"/>
    </row>
    <row r="18" spans="4:4" x14ac:dyDescent="0.25">
      <c r="D18"/>
    </row>
    <row r="19" spans="4:4" x14ac:dyDescent="0.25">
      <c r="D19"/>
    </row>
    <row r="20" spans="4:4" x14ac:dyDescent="0.25">
      <c r="D20"/>
    </row>
    <row r="21" spans="4:4" x14ac:dyDescent="0.25">
      <c r="D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4A77-3EDE-466C-8830-D95C0F07C9DF}">
  <dimension ref="B1:O30"/>
  <sheetViews>
    <sheetView showGridLines="0" tabSelected="1" topLeftCell="A2" zoomScale="121" workbookViewId="0">
      <selection activeCell="Q26" sqref="Q26"/>
    </sheetView>
  </sheetViews>
  <sheetFormatPr defaultRowHeight="15" x14ac:dyDescent="0.25"/>
  <sheetData>
    <row r="1" spans="2:2" hidden="1" x14ac:dyDescent="0.25"/>
    <row r="2" spans="2:2" ht="28.5" x14ac:dyDescent="0.45">
      <c r="B2" s="6" t="s">
        <v>21</v>
      </c>
    </row>
    <row r="22" spans="6:15" x14ac:dyDescent="0.25">
      <c r="F22" s="8"/>
      <c r="G22" s="8"/>
      <c r="H22" s="8"/>
      <c r="I22" s="8"/>
      <c r="J22" s="8"/>
      <c r="K22" s="8"/>
      <c r="L22" s="8"/>
      <c r="M22" s="8"/>
      <c r="N22" s="8"/>
      <c r="O22" s="8"/>
    </row>
    <row r="23" spans="6:15" x14ac:dyDescent="0.25">
      <c r="F23" s="8"/>
      <c r="G23" s="8"/>
      <c r="H23" s="8"/>
      <c r="I23" s="8"/>
      <c r="J23" s="8"/>
      <c r="K23" s="8"/>
      <c r="L23" s="8"/>
      <c r="M23" s="8"/>
      <c r="N23" s="8"/>
      <c r="O23" s="8"/>
    </row>
    <row r="24" spans="6:15" x14ac:dyDescent="0.25">
      <c r="F24" s="8"/>
      <c r="G24" s="8"/>
      <c r="H24" s="8"/>
      <c r="I24" s="8"/>
      <c r="J24" s="8"/>
      <c r="K24" s="8"/>
      <c r="L24" s="8"/>
      <c r="M24" s="8"/>
      <c r="N24" s="8"/>
      <c r="O24" s="8"/>
    </row>
    <row r="25" spans="6:15" x14ac:dyDescent="0.25">
      <c r="F25" s="8"/>
      <c r="G25" s="8"/>
      <c r="H25" s="8"/>
      <c r="I25" s="8"/>
      <c r="J25" s="8"/>
      <c r="K25" s="8"/>
      <c r="L25" s="8"/>
      <c r="M25" s="8"/>
      <c r="N25" s="8"/>
      <c r="O25" s="8"/>
    </row>
    <row r="26" spans="6:15" x14ac:dyDescent="0.25">
      <c r="F26" s="8"/>
      <c r="G26" s="8"/>
      <c r="H26" s="8"/>
      <c r="I26" s="8"/>
      <c r="J26" s="8"/>
      <c r="K26" s="8"/>
      <c r="L26" s="8"/>
      <c r="M26" s="8"/>
      <c r="N26" s="8"/>
      <c r="O26" s="8"/>
    </row>
    <row r="27" spans="6:15" x14ac:dyDescent="0.25">
      <c r="F27" s="8"/>
      <c r="G27" s="8"/>
      <c r="H27" s="8"/>
      <c r="I27" s="8"/>
      <c r="J27" s="8"/>
      <c r="K27" s="8"/>
      <c r="L27" s="8"/>
      <c r="M27" s="8"/>
      <c r="N27" s="8"/>
      <c r="O27" s="8"/>
    </row>
    <row r="28" spans="6:15" x14ac:dyDescent="0.25">
      <c r="F28" s="8"/>
      <c r="G28" s="8"/>
      <c r="H28" s="8"/>
      <c r="I28" s="8"/>
      <c r="J28" s="8"/>
      <c r="K28" s="8"/>
      <c r="L28" s="8"/>
      <c r="M28" s="8"/>
      <c r="N28" s="8"/>
      <c r="O28" s="8"/>
    </row>
    <row r="29" spans="6:15" x14ac:dyDescent="0.25">
      <c r="F29" s="8"/>
      <c r="G29" s="8"/>
      <c r="H29" s="8"/>
      <c r="I29" s="8"/>
      <c r="J29" s="8"/>
      <c r="K29" s="8"/>
      <c r="L29" s="8"/>
      <c r="M29" s="8"/>
      <c r="N29" s="8"/>
      <c r="O29" s="8"/>
    </row>
    <row r="30" spans="6:15" x14ac:dyDescent="0.25">
      <c r="F30" s="8"/>
      <c r="G30" s="8"/>
      <c r="H30" s="8"/>
      <c r="I30" s="8"/>
      <c r="J30" s="8"/>
      <c r="K30" s="8"/>
      <c r="L30" s="8"/>
      <c r="M30" s="8"/>
      <c r="N30" s="8"/>
      <c r="O30"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568492-1376-4A35-B86B-5E67A6D95F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raw</vt:lpstr>
      <vt:lpstr>Dashboard_Backend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Benelmaaza</dc:creator>
  <cp:lastModifiedBy>Ali Benelmaaza</cp:lastModifiedBy>
  <dcterms:created xsi:type="dcterms:W3CDTF">2026-07-15T23:02:04Z</dcterms:created>
  <dcterms:modified xsi:type="dcterms:W3CDTF">2026-07-16T14:08:29Z</dcterms:modified>
</cp:coreProperties>
</file>